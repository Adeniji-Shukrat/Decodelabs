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 LAB\"/>
    </mc:Choice>
  </mc:AlternateContent>
  <xr:revisionPtr revIDLastSave="0" documentId="13_ncr:1_{AE6CBE20-13E7-408F-8F1A-B555704E6D0A}" xr6:coauthVersionLast="47" xr6:coauthVersionMax="47" xr10:uidLastSave="{00000000-0000-0000-0000-000000000000}"/>
  <bookViews>
    <workbookView xWindow="-105" yWindow="0" windowWidth="14610" windowHeight="15585" activeTab="5" xr2:uid="{00000000-000D-0000-FFFF-FFFF00000000}"/>
  </bookViews>
  <sheets>
    <sheet name="Trend Analysis" sheetId="8" r:id="rId1"/>
    <sheet name="Outlier Detection" sheetId="9" r:id="rId2"/>
    <sheet name="Sheet1" sheetId="1" r:id="rId3"/>
    <sheet name="Data Profile" sheetId="4" r:id="rId4"/>
    <sheet name="Descriptive Statistics" sheetId="5" r:id="rId5"/>
    <sheet name="Categorical Analysis" sheetId="6" r:id="rId6"/>
    <sheet name="Table2" sheetId="3" r:id="rId7"/>
    <sheet name="Sheet2" sheetId="2" r:id="rId8"/>
  </sheets>
  <definedNames>
    <definedName name="_xlnm._FilterDatabase" localSheetId="2" hidden="1">Sheet1!$A$1:$N$1201</definedName>
    <definedName name="_xlchart.v1.0" hidden="1">Sheet1!$N$1</definedName>
    <definedName name="_xlchart.v1.1" hidden="1">Sheet1!$N$2:$N$1201</definedName>
    <definedName name="ExternalData_1" localSheetId="6" hidden="1">Table2!$A$1:$N$1201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2" i="9"/>
  <c r="B36" i="6"/>
  <c r="B35" i="6"/>
  <c r="B34" i="6"/>
  <c r="B33" i="6"/>
  <c r="B32" i="6"/>
  <c r="B27" i="6"/>
  <c r="B26" i="6"/>
  <c r="B25" i="6"/>
  <c r="B24" i="6"/>
  <c r="B23" i="6"/>
  <c r="B18" i="6"/>
  <c r="B17" i="6"/>
  <c r="B16" i="6"/>
  <c r="B15" i="6"/>
  <c r="B14" i="6"/>
  <c r="B9" i="6"/>
  <c r="B8" i="6"/>
  <c r="B7" i="6"/>
  <c r="B6" i="6"/>
  <c r="B5" i="6"/>
  <c r="B4" i="6"/>
  <c r="B3" i="6"/>
  <c r="B10" i="6" s="1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  <c r="C19" i="4"/>
  <c r="B5" i="4"/>
  <c r="B4" i="4"/>
  <c r="B2" i="4"/>
  <c r="C9" i="5" l="1"/>
  <c r="D9" i="5"/>
  <c r="B9" i="5"/>
  <c r="E9" i="5"/>
  <c r="B19" i="6"/>
  <c r="C15" i="6" s="1"/>
  <c r="C4" i="6"/>
  <c r="C9" i="6"/>
  <c r="C5" i="6"/>
  <c r="C3" i="6"/>
  <c r="C7" i="6"/>
  <c r="C8" i="6"/>
  <c r="C6" i="6"/>
  <c r="C17" i="6"/>
  <c r="C14" i="6"/>
  <c r="B37" i="6"/>
  <c r="C32" i="6" s="1"/>
  <c r="B28" i="6"/>
  <c r="B4" i="9"/>
  <c r="B5" i="9" s="1"/>
  <c r="B7" i="9" s="1"/>
  <c r="C36" i="6" l="1"/>
  <c r="C18" i="6"/>
  <c r="C34" i="6"/>
  <c r="C16" i="6"/>
  <c r="B6" i="9"/>
  <c r="B8" i="9" s="1"/>
  <c r="B16" i="9" s="1"/>
  <c r="C27" i="6"/>
  <c r="C25" i="6"/>
  <c r="C26" i="6"/>
  <c r="C24" i="6"/>
  <c r="C33" i="6"/>
  <c r="C35" i="6"/>
  <c r="C23" i="6"/>
  <c r="B15" i="9"/>
  <c r="B9" i="9" l="1"/>
  <c r="B13" i="9"/>
  <c r="B1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69CBD-52BF-42DB-9D58-BEFE70ED251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<sst xmlns="http://schemas.openxmlformats.org/spreadsheetml/2006/main" count="32005" uniqueCount="4367">
  <si>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</si>
  <si>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</si>
  <si>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</si>
  <si>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</si>
  <si>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</si>
  <si>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</si>
  <si>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</si>
  <si>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</si>
  <si>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</si>
  <si>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</si>
  <si>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</si>
  <si>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</si>
  <si>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</si>
  <si>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</si>
  <si>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</si>
  <si>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</si>
  <si>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</si>
  <si>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</si>
  <si>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</si>
  <si>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</si>
  <si>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</si>
  <si>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</si>
  <si>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</si>
  <si>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</si>
  <si>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</si>
  <si>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</si>
  <si>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</si>
  <si>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</si>
  <si>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</si>
  <si>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</si>
  <si>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</si>
  <si>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</si>
  <si>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</si>
  <si>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</si>
  <si>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</si>
  <si>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</si>
  <si>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</si>
  <si>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</si>
  <si>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</si>
  <si>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</si>
  <si>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</si>
  <si>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</si>
  <si>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</si>
  <si>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</si>
  <si>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</si>
  <si>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</si>
  <si>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</si>
  <si>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</si>
  <si>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</si>
  <si>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</si>
  <si>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</si>
  <si>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</si>
  <si>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</si>
  <si>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</si>
  <si>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</si>
  <si>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</si>
  <si>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</si>
  <si>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</si>
  <si>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</si>
  <si>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</si>
  <si>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</si>
  <si>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</si>
  <si>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</si>
  <si>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</si>
  <si>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</si>
  <si>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</si>
  <si>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</si>
  <si>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</si>
  <si>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</si>
  <si>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</si>
  <si>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</si>
  <si>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</si>
  <si>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</si>
  <si>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</si>
  <si>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</si>
  <si>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</si>
  <si>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</si>
  <si>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</si>
  <si>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</si>
  <si>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</si>
  <si>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</si>
  <si>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</si>
  <si>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</si>
  <si>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</si>
  <si>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</si>
  <si>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</si>
  <si>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</si>
  <si>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</si>
  <si>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</si>
  <si>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</si>
  <si>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</si>
  <si>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</si>
  <si>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</si>
  <si>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</si>
  <si>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</si>
  <si>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</si>
  <si>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</si>
  <si>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</si>
  <si>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</si>
  <si>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</si>
  <si>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</si>
  <si>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</si>
  <si>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</si>
  <si>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</si>
  <si>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</si>
  <si>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</si>
  <si>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</si>
  <si>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</si>
  <si>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</si>
  <si>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</si>
  <si>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</si>
  <si>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</si>
  <si>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</si>
  <si>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</si>
  <si>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</si>
  <si>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</si>
  <si>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</si>
  <si>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</si>
  <si>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</si>
  <si>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</si>
  <si>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</si>
  <si>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</si>
  <si>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</si>
  <si>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</si>
  <si>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</si>
  <si>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</si>
  <si>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</si>
  <si>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</si>
  <si>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</si>
  <si>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</si>
  <si>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</si>
  <si>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</si>
  <si>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</si>
  <si>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</si>
  <si>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</si>
  <si>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</si>
  <si>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</si>
  <si>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</si>
  <si>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</si>
  <si>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</si>
  <si>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</si>
  <si>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</si>
  <si>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</si>
  <si>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</si>
  <si>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</si>
  <si>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</si>
  <si>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</si>
  <si>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</si>
  <si>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</si>
  <si>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</si>
  <si>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</si>
  <si>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</si>
  <si>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</si>
  <si>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</si>
  <si>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</si>
  <si>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</si>
  <si>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</si>
  <si>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</si>
  <si>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</si>
  <si>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</si>
  <si>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</si>
  <si>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</si>
  <si>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</si>
  <si>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</si>
  <si>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</si>
  <si>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</si>
  <si>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</si>
  <si>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</si>
  <si>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</si>
  <si>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</si>
  <si>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</si>
  <si>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</si>
  <si>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</si>
  <si>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</si>
  <si>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</si>
  <si>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</si>
  <si>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</si>
  <si>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</si>
  <si>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</si>
  <si>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</si>
  <si>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</si>
  <si>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</si>
  <si>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</si>
  <si>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</si>
  <si>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</si>
  <si>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</si>
  <si>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</si>
  <si>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</si>
  <si>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</si>
  <si>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</si>
  <si>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</si>
  <si>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</si>
  <si>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</si>
  <si>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</si>
  <si>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</si>
  <si>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</si>
  <si>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</si>
  <si>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</si>
  <si>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</si>
  <si>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</si>
  <si>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</si>
  <si>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</si>
  <si>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</si>
  <si>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</si>
  <si>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</si>
  <si>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</si>
  <si>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</si>
  <si>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</si>
  <si>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</si>
  <si>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</si>
  <si>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</si>
  <si>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</si>
  <si>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</si>
  <si>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</si>
  <si>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</si>
  <si>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</si>
  <si>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</si>
  <si>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</si>
  <si>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</si>
  <si>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</si>
  <si>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</si>
  <si>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</si>
  <si>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</si>
  <si>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</si>
  <si>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</si>
  <si>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</si>
  <si>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</si>
  <si>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</si>
  <si>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</si>
  <si>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</si>
  <si>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</si>
  <si>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</si>
  <si>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</si>
  <si>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</si>
  <si>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</si>
  <si>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</si>
  <si>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</si>
  <si>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</si>
  <si>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</si>
  <si>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</si>
  <si>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</si>
  <si>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</si>
  <si>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</si>
  <si>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</si>
  <si>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</si>
  <si>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</si>
  <si>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</si>
  <si>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</si>
  <si>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</si>
  <si>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</si>
  <si>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</si>
  <si>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</si>
  <si>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</si>
  <si>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</si>
  <si>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</si>
  <si>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</si>
  <si>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</si>
  <si>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</si>
  <si>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</si>
  <si>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</si>
  <si>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</si>
  <si>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</si>
  <si>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</si>
  <si>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</si>
  <si>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</si>
  <si>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</si>
  <si>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</si>
  <si>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</si>
  <si>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</si>
  <si>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</si>
  <si>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</si>
  <si>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</si>
  <si>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</si>
  <si>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</si>
  <si>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</si>
  <si>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</si>
  <si>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</si>
  <si>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</si>
  <si>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</si>
  <si>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</si>
  <si>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</si>
  <si>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</si>
  <si>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</si>
  <si>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</si>
  <si>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</si>
  <si>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</si>
  <si>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</si>
  <si>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</si>
  <si>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</si>
  <si>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</si>
  <si>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</si>
  <si>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</si>
  <si>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</si>
  <si>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</si>
  <si>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</si>
  <si>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</si>
  <si>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</si>
  <si>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</si>
  <si>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</si>
  <si>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</si>
  <si>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</si>
  <si>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</si>
  <si>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</si>
  <si>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</si>
  <si>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</si>
  <si>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</si>
  <si>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</si>
  <si>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</si>
  <si>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</si>
  <si>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</si>
  <si>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</si>
  <si>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</si>
  <si>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</si>
  <si>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</si>
  <si>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</si>
  <si>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</si>
  <si>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</si>
  <si>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</si>
  <si>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</si>
  <si>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</si>
  <si>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</si>
  <si>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</si>
  <si>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</si>
  <si>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</si>
  <si>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</si>
  <si>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</si>
  <si>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</si>
  <si>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</si>
  <si>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</si>
  <si>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</si>
  <si>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</si>
  <si>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</si>
  <si>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</si>
  <si>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</si>
  <si>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</si>
  <si>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</si>
  <si>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</si>
  <si>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</si>
  <si>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</si>
  <si>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</si>
  <si>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</si>
  <si>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</si>
  <si>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</si>
  <si>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</si>
  <si>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</si>
  <si>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</si>
  <si>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</si>
  <si>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</si>
  <si>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</si>
  <si>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</si>
  <si>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</si>
  <si>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</si>
  <si>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</si>
  <si>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</si>
  <si>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</si>
  <si>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</si>
  <si>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</si>
  <si>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</si>
  <si>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</si>
  <si>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</si>
  <si>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</si>
  <si>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</si>
  <si>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</si>
  <si>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</si>
  <si>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</si>
  <si>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</si>
  <si>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</si>
  <si>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</si>
  <si>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</si>
  <si>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</si>
  <si>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</si>
  <si>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</si>
  <si>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</si>
  <si>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</si>
  <si>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</si>
  <si>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</si>
  <si>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</si>
  <si>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</si>
  <si>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</si>
  <si>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</si>
  <si>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</si>
  <si>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</si>
  <si>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</si>
  <si>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</si>
  <si>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</si>
  <si>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</si>
  <si>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</si>
  <si>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</si>
  <si>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</si>
  <si>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</si>
  <si>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</si>
  <si>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</si>
  <si>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</si>
  <si>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</si>
  <si>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</si>
  <si>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</si>
  <si>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</si>
  <si>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</si>
  <si>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</si>
  <si>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</si>
  <si>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</si>
  <si>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</si>
  <si>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</si>
  <si>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</si>
  <si>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</si>
  <si>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</si>
  <si>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</si>
  <si>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</si>
  <si>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</si>
  <si>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</si>
  <si>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</si>
  <si>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</si>
  <si>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</si>
  <si>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</si>
  <si>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</si>
  <si>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</si>
  <si>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</si>
  <si>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</si>
  <si>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</si>
  <si>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</si>
  <si>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</si>
  <si>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</si>
  <si>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</si>
  <si>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</si>
  <si>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</si>
  <si>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</si>
  <si>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</si>
  <si>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</si>
  <si>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</si>
  <si>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</si>
  <si>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</si>
  <si>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</si>
  <si>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</si>
  <si>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</si>
  <si>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</si>
  <si>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</si>
  <si>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</si>
  <si>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</si>
  <si>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</si>
  <si>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</si>
  <si>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</si>
  <si>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</si>
  <si>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</si>
  <si>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</si>
  <si>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</si>
  <si>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</si>
  <si>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</si>
  <si>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</si>
  <si>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</si>
  <si>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</si>
  <si>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</si>
  <si>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</si>
  <si>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</si>
  <si>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</si>
  <si>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</si>
  <si>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</si>
  <si>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</si>
  <si>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</si>
  <si>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</si>
  <si>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</si>
  <si>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</si>
  <si>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</si>
  <si>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</si>
  <si>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</si>
  <si>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</si>
  <si>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</si>
  <si>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</si>
  <si>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</si>
  <si>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</si>
  <si>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</si>
  <si>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</si>
  <si>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</si>
  <si>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</si>
  <si>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</si>
  <si>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</si>
  <si>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</si>
  <si>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</si>
  <si>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</si>
  <si>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</si>
  <si>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</si>
  <si>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</si>
  <si>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</si>
  <si>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</si>
  <si>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</si>
  <si>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</si>
  <si>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</si>
  <si>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</si>
  <si>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</si>
  <si>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</si>
  <si>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</si>
  <si>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</si>
  <si>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</si>
  <si>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</si>
  <si>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</si>
  <si>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</si>
  <si>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</si>
  <si>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</si>
  <si>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</si>
  <si>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</si>
  <si>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</si>
  <si>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</si>
  <si>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</si>
  <si>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</si>
  <si>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</si>
  <si>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</si>
  <si>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</si>
  <si>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</si>
  <si>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</si>
  <si>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</si>
  <si>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</si>
  <si>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</si>
  <si>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</si>
  <si>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</si>
  <si>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</si>
  <si>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</si>
  <si>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</si>
  <si>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</si>
  <si>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</si>
  <si>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</si>
  <si>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</si>
  <si>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</si>
  <si>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</si>
  <si>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</si>
  <si>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</si>
  <si>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</si>
  <si>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</si>
  <si>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</si>
  <si>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</si>
  <si>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</si>
  <si>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</si>
  <si>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</si>
  <si>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</si>
  <si>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</si>
  <si>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</si>
  <si>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</si>
  <si>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</si>
  <si>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</si>
  <si>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</si>
  <si>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</si>
  <si>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</si>
  <si>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</si>
  <si>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</si>
  <si>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</si>
  <si>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</si>
  <si>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</si>
  <si>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</si>
  <si>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</si>
  <si>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</si>
  <si>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</si>
  <si>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</si>
  <si>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</si>
  <si>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</si>
  <si>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</si>
  <si>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</si>
  <si>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</si>
  <si>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</si>
  <si>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</si>
  <si>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</si>
  <si>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</si>
  <si>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</si>
  <si>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</si>
  <si>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</si>
  <si>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</si>
  <si>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</si>
  <si>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</si>
  <si>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</si>
  <si>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</si>
  <si>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</si>
  <si>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</si>
  <si>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</si>
  <si>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</si>
  <si>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</si>
  <si>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</si>
  <si>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</si>
  <si>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</si>
  <si>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</si>
  <si>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</si>
  <si>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</si>
  <si>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</si>
  <si>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</si>
  <si>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</si>
  <si>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</si>
  <si>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</si>
  <si>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</si>
  <si>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</si>
  <si>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</si>
  <si>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</si>
  <si>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</si>
  <si>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</si>
  <si>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</si>
  <si>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</si>
  <si>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</si>
  <si>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</si>
  <si>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</si>
  <si>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</si>
  <si>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</si>
  <si>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</si>
  <si>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</si>
  <si>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</si>
  <si>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</si>
  <si>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</si>
  <si>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</si>
  <si>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</si>
  <si>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</si>
  <si>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</si>
  <si>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</si>
  <si>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</si>
  <si>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</si>
  <si>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</si>
  <si>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</si>
  <si>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</si>
  <si>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</si>
  <si>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</si>
  <si>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</si>
  <si>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</si>
  <si>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</si>
  <si>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</si>
  <si>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</si>
  <si>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</si>
  <si>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</si>
  <si>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</si>
  <si>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</si>
  <si>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</si>
  <si>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</si>
  <si>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</si>
  <si>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</si>
  <si>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</si>
  <si>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</si>
  <si>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</si>
  <si>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</si>
  <si>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</si>
  <si>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</si>
  <si>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</si>
  <si>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</si>
  <si>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</si>
  <si>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</si>
  <si>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</si>
  <si>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</si>
  <si>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</si>
  <si>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</si>
  <si>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</si>
  <si>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</si>
  <si>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</si>
  <si>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</si>
  <si>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</si>
  <si>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</si>
  <si>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</si>
  <si>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</si>
  <si>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</si>
  <si>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</si>
  <si>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</si>
  <si>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</si>
  <si>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</si>
  <si>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</si>
  <si>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</si>
  <si>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</si>
  <si>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</si>
  <si>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</si>
  <si>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</si>
  <si>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</si>
  <si>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</si>
  <si>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</si>
  <si>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</si>
  <si>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</si>
  <si>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</si>
  <si>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</si>
  <si>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</si>
  <si>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</si>
  <si>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</si>
  <si>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</si>
  <si>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</si>
  <si>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</si>
  <si>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</si>
  <si>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</si>
  <si>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</si>
  <si>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</si>
  <si>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</si>
  <si>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</si>
  <si>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</si>
  <si>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</si>
  <si>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</si>
  <si>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</si>
  <si>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</si>
  <si>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</si>
  <si>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</si>
  <si>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</si>
  <si>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</si>
  <si>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</si>
  <si>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</si>
  <si>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</si>
  <si>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</si>
  <si>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</si>
  <si>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</si>
  <si>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</si>
  <si>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</si>
  <si>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</si>
  <si>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</si>
  <si>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</si>
  <si>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</si>
  <si>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</si>
  <si>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</si>
  <si>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</si>
  <si>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</si>
  <si>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</si>
  <si>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</si>
  <si>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</si>
  <si>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</si>
  <si>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</si>
  <si>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</si>
  <si>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</si>
  <si>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</si>
  <si>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</si>
  <si>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</si>
  <si>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</si>
  <si>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</si>
  <si>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</si>
  <si>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</si>
  <si>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</si>
  <si>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</si>
  <si>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</si>
  <si>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</si>
  <si>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</si>
  <si>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</si>
  <si>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</si>
  <si>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</si>
  <si>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</si>
  <si>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</si>
  <si>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</si>
  <si>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</si>
  <si>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</si>
  <si>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</si>
  <si>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</si>
  <si>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</si>
  <si>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</si>
  <si>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</si>
  <si>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</si>
  <si>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</si>
  <si>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</si>
  <si>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</si>
  <si>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</si>
  <si>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</si>
  <si>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</si>
  <si>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</si>
  <si>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</si>
  <si>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</si>
  <si>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</si>
  <si>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</si>
  <si>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</si>
  <si>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</si>
  <si>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</si>
  <si>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</si>
  <si>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</si>
  <si>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</si>
  <si>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</si>
  <si>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</si>
  <si>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</si>
  <si>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</si>
  <si>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</si>
  <si>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</si>
  <si>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</si>
  <si>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</si>
  <si>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</si>
  <si>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</si>
  <si>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</si>
  <si>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</si>
  <si>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</si>
  <si>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</si>
  <si>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</si>
  <si>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</si>
  <si>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</si>
  <si>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</si>
  <si>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</si>
  <si>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</si>
  <si>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</si>
  <si>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</si>
  <si>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</si>
  <si>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</si>
  <si>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</si>
  <si>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</si>
  <si>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</si>
  <si>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</si>
  <si>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</si>
  <si>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</si>
  <si>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</si>
  <si>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</si>
  <si>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</si>
  <si>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</si>
  <si>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</si>
  <si>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</si>
  <si>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</si>
  <si>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</si>
  <si>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</si>
  <si>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</si>
  <si>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</si>
  <si>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</si>
  <si>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</si>
  <si>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</si>
  <si>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</si>
  <si>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</si>
  <si>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</si>
  <si>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</si>
  <si>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</si>
  <si>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</si>
  <si>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</si>
  <si>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</si>
  <si>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</si>
  <si>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</si>
  <si>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</si>
  <si>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</si>
  <si>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</si>
  <si>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</si>
  <si>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</si>
  <si>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</si>
  <si>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</si>
  <si>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</si>
  <si>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</si>
  <si>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</si>
  <si>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</si>
  <si>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</si>
  <si>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</si>
  <si>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</si>
  <si>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</si>
  <si>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</si>
  <si>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</si>
  <si>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</si>
  <si>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</si>
  <si>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</si>
  <si>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</si>
  <si>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</si>
  <si>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</si>
  <si>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</si>
  <si>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</si>
  <si>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</si>
  <si>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</si>
  <si>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</si>
  <si>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</si>
  <si>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</si>
  <si>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</si>
  <si>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</si>
  <si>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</si>
  <si>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</si>
  <si>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</si>
  <si>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</si>
  <si>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</si>
  <si>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</si>
  <si>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</si>
  <si>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</si>
  <si>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</si>
  <si>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</si>
  <si>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</si>
  <si>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</si>
  <si>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</si>
  <si>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</si>
  <si>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</si>
  <si>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</si>
  <si>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</si>
  <si>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</si>
  <si>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</si>
  <si>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</si>
  <si>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</si>
  <si>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</si>
  <si>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</si>
  <si>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</si>
  <si>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</si>
  <si>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</si>
  <si>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</si>
  <si>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</si>
  <si>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</si>
  <si>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</si>
  <si>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</si>
  <si>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</si>
  <si>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</si>
  <si>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</si>
  <si>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</si>
  <si>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</si>
  <si>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</si>
  <si>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</si>
  <si>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</si>
  <si>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</si>
  <si>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</si>
  <si>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</si>
  <si>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</si>
  <si>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</si>
  <si>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</si>
  <si>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</si>
  <si>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</si>
  <si>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</si>
  <si>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</si>
  <si>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</si>
  <si>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</si>
  <si>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</si>
  <si>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</si>
  <si>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</si>
  <si>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</si>
  <si>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</si>
  <si>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</si>
  <si>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</si>
  <si>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</si>
  <si>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</si>
  <si>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</si>
  <si>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</si>
  <si>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</si>
  <si>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</si>
  <si>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</si>
  <si>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</si>
  <si>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</si>
  <si>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</si>
  <si>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</si>
  <si>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</si>
  <si>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</si>
  <si>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</si>
  <si>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</si>
  <si>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</si>
  <si>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</si>
  <si>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</si>
  <si>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</si>
  <si>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</si>
  <si>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</si>
  <si>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</si>
  <si>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</si>
  <si>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</si>
  <si>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</si>
  <si>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</si>
  <si>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</si>
  <si>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</si>
  <si>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</si>
  <si>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</si>
  <si>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</si>
  <si>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</si>
  <si>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</si>
  <si>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</si>
  <si>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</si>
  <si>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</si>
  <si>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</si>
  <si>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</si>
  <si>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</si>
  <si>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</si>
  <si>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</si>
  <si>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</si>
  <si>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</si>
  <si>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</si>
  <si>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</si>
  <si>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</si>
  <si>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</si>
  <si>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</si>
  <si>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</si>
  <si>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</si>
  <si>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</si>
  <si>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</si>
  <si>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</si>
  <si>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</si>
  <si>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</si>
  <si>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</si>
  <si>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</si>
  <si>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</si>
  <si>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</si>
  <si>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</si>
  <si>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</si>
  <si>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</si>
  <si>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</si>
  <si>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</si>
  <si>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</si>
  <si>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</si>
  <si>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</si>
  <si>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</si>
  <si>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</si>
  <si>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</si>
  <si>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</si>
  <si>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</si>
  <si>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</si>
  <si>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</si>
  <si>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</si>
  <si>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</si>
  <si>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</si>
  <si>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</si>
  <si>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</si>
  <si>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</si>
  <si>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</si>
  <si>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</si>
  <si>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</si>
  <si>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</si>
  <si>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</si>
  <si>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</si>
  <si>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</si>
  <si>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</si>
  <si>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</si>
  <si>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</si>
  <si>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</si>
  <si>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</si>
  <si>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</si>
  <si>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</si>
  <si>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</si>
  <si>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</si>
  <si>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</si>
  <si>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</si>
  <si>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</si>
  <si>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</si>
  <si>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</si>
  <si>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</si>
  <si>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</si>
  <si>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</si>
  <si>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</si>
  <si>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</si>
  <si>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</si>
  <si>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</si>
  <si>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</si>
  <si>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</si>
  <si>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</si>
  <si>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</si>
  <si>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</si>
  <si>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</si>
  <si>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</si>
  <si>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</si>
  <si>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</si>
  <si>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</si>
  <si>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</si>
  <si>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</si>
  <si>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</si>
  <si>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</si>
  <si>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</si>
  <si>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</si>
  <si>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</si>
  <si>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</si>
  <si>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</si>
  <si>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</si>
  <si>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</si>
  <si>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</si>
  <si>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</si>
  <si>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</si>
  <si>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</si>
  <si>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</si>
  <si>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</si>
  <si>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</si>
  <si>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</si>
  <si>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</si>
  <si>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</si>
  <si>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</si>
  <si>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</si>
  <si>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</si>
  <si>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</si>
  <si>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</si>
  <si>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</si>
  <si>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</si>
  <si>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</si>
  <si>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</si>
  <si>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</si>
  <si>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</si>
  <si>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</si>
  <si>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</si>
  <si>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</si>
  <si>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</si>
  <si>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</si>
  <si>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</si>
  <si>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</si>
  <si>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</si>
  <si>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</si>
  <si>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</si>
  <si>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</si>
  <si>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</si>
  <si>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</si>
  <si>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</si>
  <si>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</si>
  <si>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</si>
  <si>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</si>
  <si>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</si>
  <si>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</si>
  <si>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</si>
  <si>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</si>
  <si>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</si>
  <si>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</si>
  <si>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</si>
  <si>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</si>
  <si>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</si>
  <si>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</si>
  <si>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</si>
  <si>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</si>
  <si>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</si>
  <si>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</si>
  <si>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</si>
  <si>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</si>
  <si>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</si>
  <si>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</si>
  <si>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</si>
  <si>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</si>
  <si>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</si>
  <si>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</si>
  <si>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</si>
  <si>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</si>
  <si>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</si>
  <si>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</si>
  <si>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</si>
  <si>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</si>
  <si>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</si>
  <si>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</si>
  <si>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</si>
  <si>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</si>
  <si>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</si>
  <si>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</si>
  <si>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</si>
  <si>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</si>
  <si>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</si>
  <si>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</si>
  <si>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</si>
  <si>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</si>
  <si>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</si>
  <si>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</si>
  <si>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</si>
  <si>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</si>
  <si>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</si>
  <si>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</si>
  <si>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</si>
  <si>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</si>
  <si>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</si>
  <si>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</si>
  <si>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</si>
  <si>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</si>
  <si>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</si>
  <si>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</si>
  <si>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</si>
  <si>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</si>
  <si>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</si>
  <si>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</si>
  <si>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</si>
  <si>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</si>
  <si>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</si>
  <si>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</si>
  <si>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</si>
  <si>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</si>
  <si>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</si>
  <si>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</si>
  <si>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</si>
  <si>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</si>
  <si>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</si>
  <si>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</si>
  <si>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</si>
  <si>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</si>
  <si>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</si>
  <si>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</si>
  <si>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</si>
  <si>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</si>
  <si>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</si>
  <si>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</si>
  <si>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</si>
  <si>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</si>
  <si>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</si>
  <si>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</si>
  <si>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</si>
  <si>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</si>
  <si>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</si>
  <si>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</si>
  <si>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</si>
  <si>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</si>
  <si>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</si>
  <si>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</si>
  <si>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</si>
  <si>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</si>
  <si>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</si>
  <si>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</si>
  <si>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</si>
  <si>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</si>
  <si>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</si>
  <si>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</si>
  <si>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</si>
  <si>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</si>
  <si>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</si>
  <si>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</si>
  <si>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</si>
  <si>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</si>
  <si>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</si>
  <si>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</si>
  <si>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</si>
  <si>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</si>
  <si>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</si>
  <si>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</si>
  <si>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</si>
  <si>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</si>
  <si>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</si>
  <si>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</si>
  <si>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</si>
  <si>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</si>
  <si>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</si>
  <si>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</si>
  <si>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</si>
  <si>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</si>
  <si>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</si>
  <si>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</si>
  <si>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</si>
  <si>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</si>
  <si>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</si>
  <si>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</si>
  <si>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</si>
  <si>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</si>
  <si>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</si>
  <si>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</si>
  <si>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</si>
  <si>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</si>
  <si>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</si>
  <si>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</si>
  <si>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</si>
  <si>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</si>
  <si>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</si>
  <si>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</si>
  <si>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</si>
  <si>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</si>
  <si>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</si>
  <si>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</si>
  <si>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</si>
  <si>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</si>
  <si>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</si>
  <si>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</si>
  <si>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</si>
  <si>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</si>
  <si>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</si>
  <si>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</si>
  <si>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</si>
  <si>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</si>
  <si>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</si>
  <si>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</si>
  <si>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</si>
  <si>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</si>
  <si>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</si>
  <si>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</si>
  <si>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</si>
  <si>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</si>
  <si>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</si>
  <si>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</si>
  <si>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</si>
  <si>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</si>
  <si>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</si>
  <si>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</si>
  <si>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</si>
  <si>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</si>
  <si>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</si>
  <si>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</si>
  <si>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</si>
  <si>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</si>
  <si>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</si>
  <si>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</si>
  <si>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</si>
  <si>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</si>
  <si>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</si>
  <si>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</si>
  <si>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</si>
  <si>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</si>
  <si>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</si>
  <si>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</si>
  <si>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</si>
  <si>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</si>
  <si>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</si>
  <si>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</si>
  <si>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</si>
  <si>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</si>
  <si>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</si>
  <si>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</si>
  <si>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</si>
  <si>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</si>
  <si>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</si>
  <si>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</si>
  <si>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</si>
  <si>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</si>
  <si>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</si>
  <si>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</si>
  <si>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</si>
  <si>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</si>
  <si>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</si>
  <si>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</si>
  <si>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</si>
  <si>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</si>
  <si>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</si>
  <si>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</si>
  <si>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</si>
  <si>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</si>
  <si>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</si>
  <si>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</si>
  <si>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</si>
  <si>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</si>
  <si>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</si>
  <si>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</si>
  <si>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</si>
  <si>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</si>
  <si>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</si>
  <si>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</si>
  <si>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</si>
  <si>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</si>
  <si>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</si>
  <si>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</si>
  <si>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</si>
  <si>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</si>
  <si>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</si>
  <si>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</si>
  <si>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</si>
  <si>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</si>
  <si>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</si>
  <si>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</si>
  <si>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</si>
  <si>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</si>
  <si>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</si>
  <si>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</si>
  <si>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</si>
  <si>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</si>
  <si>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</si>
  <si>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</si>
  <si>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</si>
  <si>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</si>
  <si>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</si>
  <si>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</si>
  <si>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</si>
  <si>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</si>
  <si>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</si>
  <si>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</si>
  <si>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</si>
  <si>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</si>
  <si>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</si>
  <si>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</si>
  <si>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</si>
  <si>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</si>
  <si>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</si>
  <si>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</si>
  <si>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</si>
  <si>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</si>
  <si>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</si>
  <si>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</si>
  <si>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</si>
  <si>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</si>
  <si>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</si>
  <si>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</si>
  <si>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</si>
  <si>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</si>
  <si>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</si>
  <si>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</si>
  <si>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</si>
  <si>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</si>
  <si>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</si>
  <si>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</si>
  <si>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</si>
  <si>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</si>
  <si>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</si>
  <si>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</si>
  <si>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</si>
  <si>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</si>
  <si>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</si>
  <si>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</si>
  <si>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</si>
  <si>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</si>
  <si>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</si>
  <si>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</si>
  <si>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</si>
  <si>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</si>
  <si>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</si>
  <si>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</si>
  <si>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</si>
  <si>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</si>
  <si>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</si>
  <si>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</si>
  <si>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</si>
  <si>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</si>
  <si>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</si>
  <si>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</si>
  <si>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</si>
  <si>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</si>
  <si>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</si>
  <si>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</si>
  <si>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</si>
  <si>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</si>
  <si>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</si>
  <si>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</si>
  <si>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</si>
  <si>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</si>
  <si>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</si>
  <si>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</si>
  <si>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</si>
  <si>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</si>
  <si>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</si>
  <si>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</si>
  <si>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</si>
  <si>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</si>
  <si>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</si>
  <si>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</si>
  <si>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</si>
  <si>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</si>
  <si>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</si>
  <si>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</si>
  <si>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</si>
  <si>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</si>
  <si>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</si>
  <si>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</si>
  <si>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</si>
  <si>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</si>
  <si>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</si>
  <si>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</si>
  <si>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</si>
  <si>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</si>
  <si>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</si>
  <si>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</si>
  <si>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</si>
  <si>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</si>
  <si>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</si>
  <si>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</si>
  <si>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</si>
  <si>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</si>
  <si>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</si>
  <si>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</si>
  <si>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</si>
  <si>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</si>
  <si>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</si>
  <si>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</si>
  <si>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</si>
  <si>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</si>
  <si>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</si>
  <si>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</si>
  <si>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</si>
  <si>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</si>
  <si>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</si>
  <si>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</si>
  <si>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</si>
  <si>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</si>
  <si>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</si>
  <si>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</si>
  <si>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</si>
  <si>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</si>
  <si>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</si>
  <si>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</si>
  <si>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</si>
  <si>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</si>
  <si>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</si>
  <si>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</si>
  <si>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</si>
  <si>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</si>
  <si>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</si>
  <si>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</si>
  <si>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</si>
  <si>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</si>
  <si>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</si>
  <si>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</si>
  <si>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</si>
  <si>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</si>
  <si>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</si>
  <si>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</si>
  <si>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</si>
  <si>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</si>
  <si>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</si>
  <si>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</si>
  <si>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</si>
  <si>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</si>
  <si>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</si>
  <si>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</si>
  <si>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</si>
  <si>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</si>
  <si>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</si>
  <si>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</si>
  <si>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</si>
  <si>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</si>
  <si>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</si>
  <si>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</si>
  <si>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</si>
  <si>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</si>
  <si>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</si>
  <si>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</si>
  <si>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</si>
  <si>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</si>
  <si>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</si>
  <si>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</si>
  <si>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</si>
  <si>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</si>
  <si>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</si>
  <si>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</si>
  <si>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</si>
  <si>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</si>
  <si>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</si>
  <si>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</si>
  <si>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</si>
  <si>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</si>
  <si>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</si>
  <si>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</si>
  <si>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</si>
  <si>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</si>
  <si>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</si>
  <si>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</si>
  <si>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</si>
  <si>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</si>
  <si>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</si>
  <si>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</si>
  <si>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</si>
  <si>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</si>
  <si>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</si>
  <si>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</si>
  <si>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</si>
  <si>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</si>
  <si>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</si>
  <si>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</si>
  <si>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</si>
  <si>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</si>
  <si>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</si>
  <si>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</si>
  <si>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</si>
  <si>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</si>
  <si>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</si>
  <si>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</si>
  <si>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</si>
  <si>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</si>
  <si>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</si>
  <si>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</si>
  <si>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</si>
  <si>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</si>
  <si>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</si>
  <si>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</si>
  <si>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</si>
  <si>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</si>
  <si>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</si>
  <si>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</si>
  <si>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</si>
  <si>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</si>
  <si>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</si>
  <si>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</si>
  <si>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</si>
  <si>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</si>
  <si>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</si>
  <si>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</si>
  <si>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</si>
  <si>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</si>
  <si>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</si>
  <si>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</si>
  <si>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</si>
  <si>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</si>
  <si>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</si>
  <si>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</si>
  <si>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</si>
  <si>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</si>
  <si>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</si>
  <si>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</si>
  <si>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</si>
  <si>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</si>
  <si>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</si>
  <si>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</si>
  <si>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</si>
  <si>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</si>
  <si>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</si>
  <si>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</si>
  <si>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</si>
  <si>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</si>
  <si>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</si>
  <si>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</si>
  <si>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</si>
  <si>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</si>
  <si>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</si>
  <si>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</si>
  <si>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</si>
  <si>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</si>
  <si>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</si>
  <si>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</si>
  <si>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</si>
  <si>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</si>
  <si>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</si>
  <si>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</si>
  <si>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</si>
  <si>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</si>
  <si>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</si>
  <si>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</si>
  <si>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</si>
  <si>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</si>
  <si>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</si>
  <si>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</si>
  <si>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</si>
  <si>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</si>
  <si>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</si>
  <si>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</si>
  <si>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</si>
  <si>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</si>
  <si>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</si>
  <si>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</si>
  <si>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</si>
  <si>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</si>
  <si>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</si>
  <si>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</si>
  <si>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</si>
  <si>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</si>
  <si>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</si>
  <si>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</si>
  <si>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</si>
  <si>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</si>
  <si>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</si>
  <si>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</si>
  <si>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</si>
  <si>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</si>
  <si>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</si>
  <si>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</si>
  <si>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</si>
  <si>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</si>
  <si>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</si>
  <si>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</si>
  <si>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</si>
  <si>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</si>
  <si>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</si>
  <si>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</si>
  <si>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</si>
  <si>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</si>
  <si>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</si>
  <si>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</si>
  <si>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</si>
  <si>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</si>
  <si>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</si>
  <si>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</si>
  <si>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</si>
  <si>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</si>
  <si>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</si>
  <si>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</si>
  <si>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</si>
  <si>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</si>
  <si>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</si>
  <si>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</si>
  <si>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</si>
  <si>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</si>
  <si>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</si>
  <si>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</si>
  <si>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</si>
  <si>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</si>
  <si>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</si>
  <si>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</si>
  <si>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</si>
  <si>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</si>
  <si>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</si>
  <si>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</si>
  <si>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</si>
  <si>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</si>
  <si>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</si>
  <si>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</si>
  <si>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</si>
  <si>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</si>
  <si>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</si>
  <si>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</si>
  <si>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</si>
  <si>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</si>
  <si>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</si>
  <si>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</si>
  <si>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</si>
  <si>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</si>
  <si>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</si>
  <si>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</si>
  <si>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</si>
  <si>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</si>
  <si>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</si>
  <si>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</si>
  <si>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</si>
  <si>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</si>
  <si>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</si>
  <si>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</si>
  <si>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</si>
  <si>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</si>
  <si>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</si>
  <si>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</si>
  <si>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</si>
  <si>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</si>
  <si>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</si>
  <si>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</si>
  <si>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</si>
  <si>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</si>
  <si>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</si>
  <si>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</si>
  <si>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</si>
  <si>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</si>
  <si>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</si>
  <si>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</si>
  <si>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</si>
  <si>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</si>
  <si>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</si>
  <si>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</si>
  <si>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</si>
  <si>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</si>
  <si>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</si>
  <si>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</si>
  <si>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</si>
  <si>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</si>
  <si>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</si>
  <si>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</si>
  <si>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</si>
  <si>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</si>
  <si>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</si>
  <si>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</si>
  <si>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</si>
  <si>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</si>
  <si>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</si>
  <si>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</si>
  <si>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</si>
  <si>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</si>
  <si>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</si>
  <si>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</si>
  <si>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</si>
  <si>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</si>
  <si>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</si>
  <si>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</si>
  <si>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</si>
  <si>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</si>
  <si>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</si>
  <si>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</si>
  <si>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</si>
  <si>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</si>
  <si>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</si>
  <si>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</si>
  <si>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</si>
  <si>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</si>
  <si>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</si>
  <si>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</si>
  <si>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</si>
  <si>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</si>
  <si>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</si>
  <si>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</si>
  <si>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</si>
  <si>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</si>
  <si>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</si>
  <si>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</si>
  <si>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</si>
  <si>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</si>
  <si>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</si>
  <si>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</si>
  <si>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</si>
  <si>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</si>
  <si>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</si>
  <si>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</si>
  <si>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</si>
  <si>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</si>
  <si>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</si>
  <si>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</si>
  <si>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</si>
  <si>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</si>
  <si>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</si>
  <si>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</si>
  <si>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</si>
  <si>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</si>
  <si>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</si>
  <si>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</si>
  <si>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</si>
  <si>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</si>
  <si>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</si>
  <si>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</si>
  <si>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</si>
  <si>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</si>
  <si>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</si>
  <si>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</si>
  <si>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</si>
  <si>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</si>
  <si>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</si>
  <si>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</si>
  <si>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</si>
  <si>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</si>
  <si>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</si>
  <si>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</si>
  <si>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</si>
  <si>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</si>
  <si>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</si>
  <si>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</si>
  <si>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</si>
  <si>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</si>
  <si>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</si>
  <si>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</si>
  <si>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</si>
  <si>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</si>
  <si>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</si>
  <si>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</si>
  <si>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</si>
  <si>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</si>
  <si>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</si>
  <si>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</si>
  <si>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</si>
  <si>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</si>
  <si>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</si>
  <si>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</si>
  <si>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</si>
  <si>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</si>
  <si>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</si>
  <si>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</si>
  <si>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</si>
  <si>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</si>
  <si>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</si>
  <si>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</si>
  <si>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</si>
  <si>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</si>
  <si>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</si>
  <si>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</si>
  <si>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</si>
  <si>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</si>
  <si>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</si>
  <si>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</si>
  <si>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</si>
  <si>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</si>
  <si>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</si>
  <si>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</si>
  <si>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</si>
  <si>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</si>
  <si>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</si>
  <si>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</si>
  <si>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</si>
  <si>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</si>
  <si>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</si>
  <si>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</si>
  <si>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</si>
  <si>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</si>
  <si>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</si>
  <si>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</si>
  <si>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</si>
  <si>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</si>
  <si>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</si>
  <si>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</si>
  <si>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</si>
  <si>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</si>
  <si>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</si>
  <si>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</si>
  <si>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</si>
  <si>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</si>
  <si>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</si>
  <si>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</si>
  <si>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</si>
  <si>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</si>
  <si>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</si>
  <si>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</si>
  <si>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</si>
  <si>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</si>
  <si>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</si>
  <si>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</si>
  <si>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</si>
  <si>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</si>
  <si>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</si>
  <si>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</si>
  <si>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</si>
  <si>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</si>
  <si>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</si>
  <si>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</si>
  <si>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</si>
  <si>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</si>
  <si>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</si>
  <si>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</si>
  <si>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</si>
  <si>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</si>
  <si>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</si>
  <si>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</si>
  <si>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</si>
  <si>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</si>
  <si>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</si>
  <si>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</si>
  <si>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</si>
  <si>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</si>
  <si>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</si>
  <si>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</si>
  <si>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</si>
  <si>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</si>
  <si>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</si>
  <si>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</si>
  <si>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</si>
  <si>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</si>
  <si>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</si>
  <si>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</si>
  <si>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</si>
  <si>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</si>
  <si>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</si>
  <si>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</si>
  <si>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</si>
  <si>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</si>
  <si>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</si>
  <si>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</si>
  <si>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</si>
  <si>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</si>
  <si>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</si>
  <si>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</si>
  <si>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</si>
  <si>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</si>
  <si>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</si>
  <si>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</si>
  <si>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</si>
  <si>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</si>
  <si>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</si>
  <si>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</si>
  <si>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</si>
  <si>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</si>
  <si>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</si>
  <si>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</si>
  <si>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</si>
  <si>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</si>
  <si>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</si>
  <si>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</si>
  <si>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</si>
  <si>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</si>
  <si>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</si>
  <si>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</si>
  <si>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</si>
  <si>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</si>
  <si>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</si>
  <si>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</si>
  <si>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</si>
  <si>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</si>
  <si>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</si>
  <si>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</si>
  <si>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</si>
  <si>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</si>
  <si>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</si>
  <si>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</si>
  <si>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</si>
  <si>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</si>
  <si>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</si>
  <si>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</si>
  <si>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</si>
  <si>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</si>
  <si>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</si>
  <si>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</si>
  <si>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</si>
  <si>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</si>
  <si>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</si>
  <si>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</si>
  <si>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</si>
  <si>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</si>
  <si>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</si>
  <si>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</si>
  <si>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</si>
  <si>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</si>
  <si>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</si>
  <si>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</si>
  <si>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</si>
  <si>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</si>
  <si>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</si>
  <si>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</si>
  <si>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</si>
  <si>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</si>
  <si>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</si>
  <si>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</si>
  <si>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</si>
  <si>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</si>
  <si>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</si>
  <si>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</si>
  <si>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</si>
  <si>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</si>
  <si>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</si>
  <si>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</si>
  <si>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</si>
  <si>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</si>
  <si>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</si>
  <si>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</si>
  <si>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</si>
  <si>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</si>
  <si>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</si>
  <si>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</si>
  <si>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</si>
  <si>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</si>
  <si>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</si>
  <si>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</si>
  <si>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</si>
  <si>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</si>
  <si>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</si>
  <si>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</si>
  <si>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</si>
  <si>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</si>
  <si>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</si>
  <si>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</si>
  <si>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</si>
  <si>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</si>
  <si>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</si>
  <si>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</si>
  <si>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</si>
  <si>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</si>
  <si>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</si>
  <si>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</si>
  <si>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</si>
  <si>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</si>
  <si>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</si>
  <si>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</si>
  <si>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</si>
  <si>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</si>
  <si>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</si>
  <si>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</si>
  <si>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</si>
  <si>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</si>
  <si>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</si>
  <si>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</si>
  <si>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</si>
  <si>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</si>
  <si>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</si>
  <si>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</si>
  <si>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</si>
  <si>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</si>
  <si>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</si>
  <si>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</si>
  <si>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</si>
  <si>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</si>
  <si>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</si>
  <si>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</si>
  <si>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</si>
  <si>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</si>
  <si>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</si>
  <si>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</si>
  <si>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</si>
  <si>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</si>
  <si>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</si>
  <si>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</si>
  <si>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</si>
  <si>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</si>
  <si>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</si>
  <si>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</si>
  <si>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</si>
  <si>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</si>
  <si>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</si>
  <si>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</si>
  <si>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</si>
  <si>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</si>
  <si>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</si>
  <si>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</si>
  <si>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</si>
  <si>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</si>
  <si>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</si>
  <si>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</si>
  <si>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</si>
  <si>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</si>
  <si>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</si>
  <si>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</si>
  <si>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</si>
  <si>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</si>
  <si>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</si>
  <si>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</si>
  <si>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</si>
  <si>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</si>
  <si>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</si>
  <si>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</si>
  <si>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</si>
  <si>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</si>
  <si>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</si>
  <si>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</si>
  <si>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</si>
  <si>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</si>
  <si>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</si>
  <si>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</si>
  <si>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</si>
  <si>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</si>
  <si>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</si>
  <si>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</si>
  <si>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</si>
  <si>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</si>
  <si>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</si>
  <si>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</si>
  <si>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</si>
  <si>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</si>
  <si>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</si>
  <si>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</si>
  <si>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</si>
  <si>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</si>
  <si>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</si>
  <si>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</si>
  <si>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</si>
  <si>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</si>
  <si>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</si>
  <si>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</si>
  <si>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</si>
  <si>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</si>
  <si>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</si>
  <si>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</si>
  <si>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</si>
  <si>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</si>
  <si>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</si>
  <si>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</si>
  <si>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</si>
  <si>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</si>
  <si>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</si>
  <si>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</si>
  <si>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</si>
  <si>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</si>
  <si>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</si>
  <si>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</si>
  <si>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</si>
  <si>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</si>
  <si>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</si>
  <si>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</si>
  <si>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</si>
  <si>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</si>
  <si>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</si>
  <si>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</si>
  <si>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</si>
  <si>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</si>
  <si>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</si>
  <si>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</si>
  <si>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</si>
  <si>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</si>
  <si>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</si>
  <si>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</si>
  <si>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</si>
  <si>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</si>
  <si>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</si>
  <si>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</si>
  <si>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</si>
  <si>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</si>
  <si>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</si>
  <si>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</si>
  <si>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</si>
  <si>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</si>
  <si>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</si>
  <si>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</si>
  <si>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</si>
  <si>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</si>
  <si>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</si>
  <si>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</si>
  <si>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</si>
  <si>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</si>
  <si>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</si>
  <si>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</si>
  <si>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</si>
  <si>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</si>
  <si>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</si>
  <si>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</si>
  <si>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</si>
  <si>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</si>
  <si>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</si>
  <si>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</si>
  <si>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</si>
  <si>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</si>
  <si>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</si>
  <si>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</si>
  <si>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</si>
  <si>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</si>
  <si>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</si>
  <si>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</si>
  <si>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</si>
  <si>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</si>
  <si>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</si>
  <si>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</si>
  <si>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</si>
  <si>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</si>
  <si>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</si>
  <si>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</si>
  <si>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</si>
  <si>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</si>
  <si>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</si>
  <si>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</si>
  <si>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</si>
  <si>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</si>
  <si>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</si>
  <si>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</si>
  <si>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</si>
  <si>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</si>
  <si>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</si>
  <si>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</si>
  <si>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</si>
  <si>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</si>
  <si>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</si>
  <si>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</si>
  <si>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</si>
  <si>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</si>
  <si>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</si>
  <si>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</si>
  <si>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</si>
  <si>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</si>
  <si>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</si>
  <si>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</si>
  <si>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</si>
  <si>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</si>
  <si>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</si>
  <si>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</si>
  <si>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</si>
  <si>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</si>
  <si>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</si>
  <si>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</si>
  <si>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</si>
  <si>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</si>
  <si>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</si>
  <si>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</si>
  <si>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</si>
  <si>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</si>
  <si>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</si>
  <si>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</si>
  <si>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</si>
  <si>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</si>
  <si>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</si>
  <si>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</si>
  <si>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</si>
  <si>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</si>
  <si>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</si>
  <si>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</si>
  <si>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</si>
  <si>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</si>
  <si>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</si>
  <si>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</si>
  <si>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</si>
  <si>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</si>
  <si>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</si>
  <si>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</si>
  <si>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</si>
  <si>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</si>
  <si>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</si>
  <si>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</si>
  <si>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</si>
  <si>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</si>
  <si>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</si>
  <si>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</si>
  <si>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</si>
  <si>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</si>
  <si>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</si>
  <si>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</si>
  <si>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</si>
  <si>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</si>
  <si>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</si>
  <si>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</si>
  <si>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</si>
  <si>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</si>
  <si>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</si>
  <si>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</si>
  <si>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</si>
  <si>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</si>
  <si>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</si>
  <si>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</si>
  <si>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</si>
  <si>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</si>
  <si>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</si>
  <si>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</si>
  <si>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</si>
  <si>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</si>
  <si>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</si>
  <si>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</si>
  <si>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</si>
  <si>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</si>
  <si>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</si>
  <si>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</si>
  <si>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</si>
  <si>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</si>
  <si>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</si>
  <si>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</si>
  <si>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</si>
  <si>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</si>
  <si>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</si>
  <si>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</si>
  <si>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</si>
  <si>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</si>
  <si>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</si>
  <si>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</si>
  <si>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</si>
  <si>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</si>
  <si>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</si>
  <si>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</si>
  <si>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</si>
  <si>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</si>
  <si>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</si>
  <si>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</si>
  <si>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</si>
  <si>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</si>
  <si>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</si>
  <si>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</si>
  <si>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</si>
  <si>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</si>
  <si>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</si>
  <si>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</si>
  <si>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</si>
  <si>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</si>
  <si>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</si>
  <si>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</si>
  <si>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</si>
  <si>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</si>
  <si>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</si>
  <si>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</si>
  <si>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</si>
  <si>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</si>
  <si>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</si>
  <si>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</si>
  <si>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</si>
  <si>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</si>
  <si>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</si>
  <si>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</si>
  <si>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</si>
  <si>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</si>
  <si>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</si>
  <si>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</si>
  <si>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</si>
  <si>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</si>
  <si>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</si>
  <si>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</si>
  <si>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</si>
  <si>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</si>
  <si>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</si>
  <si>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</si>
  <si>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</si>
  <si>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</si>
  <si>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</si>
  <si>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</si>
  <si>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</si>
  <si>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</si>
  <si>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</si>
  <si>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</si>
  <si>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</si>
  <si>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</si>
  <si>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</si>
  <si>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</si>
  <si>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</si>
  <si>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</si>
  <si>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</si>
  <si>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</si>
  <si>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</si>
  <si>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</si>
  <si>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</si>
  <si>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</si>
  <si>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</si>
  <si>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</si>
  <si>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</si>
  <si>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</si>
  <si>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</si>
  <si>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</si>
  <si>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</si>
  <si>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</si>
  <si>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</si>
  <si>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</si>
  <si>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</si>
  <si>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</si>
  <si>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</si>
  <si>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</si>
  <si>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</si>
  <si>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</si>
  <si>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</si>
  <si>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</si>
  <si>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</si>
  <si>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</si>
  <si>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</si>
  <si>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</si>
  <si>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</si>
  <si>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</si>
  <si>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</si>
  <si>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</si>
  <si>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</si>
  <si>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</si>
  <si>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</si>
  <si>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</si>
  <si>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</si>
  <si>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</si>
  <si>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</si>
  <si>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</si>
  <si>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</si>
  <si>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</si>
  <si>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</si>
  <si>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</si>
  <si>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</si>
  <si>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</si>
  <si>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</si>
  <si>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</si>
  <si>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</si>
  <si>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</si>
  <si>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</si>
  <si>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</si>
  <si>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</si>
  <si>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</si>
  <si>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</si>
  <si>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</si>
  <si>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</si>
  <si>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</si>
  <si>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</si>
  <si>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</si>
  <si>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</si>
  <si>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</si>
  <si>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</si>
  <si>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</si>
  <si>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</si>
  <si>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</si>
  <si>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</si>
  <si>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</si>
  <si>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</si>
  <si>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</si>
  <si>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</si>
  <si>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</si>
  <si>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</si>
  <si>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</si>
  <si>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</si>
  <si>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</si>
  <si>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</si>
  <si>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</si>
  <si>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</si>
  <si>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</si>
  <si>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</si>
  <si>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</si>
  <si>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</si>
  <si>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</si>
  <si>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</si>
  <si>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</si>
  <si>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</si>
  <si>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</si>
  <si>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</si>
  <si>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</si>
  <si>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</si>
  <si>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</si>
  <si>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</si>
  <si>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</si>
  <si>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</si>
  <si>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</si>
  <si>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</si>
  <si>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</si>
  <si>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</si>
  <si>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</si>
  <si>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</si>
  <si>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</si>
  <si>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</si>
  <si>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</si>
  <si>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</si>
  <si>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</si>
  <si>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</si>
  <si>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</si>
  <si>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</si>
  <si>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</si>
  <si>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</si>
  <si>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</si>
  <si>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</si>
  <si>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</si>
  <si>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</si>
  <si>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</si>
  <si>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</si>
  <si>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</si>
  <si>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</si>
  <si>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</si>
  <si>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</si>
  <si>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</si>
  <si>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</si>
  <si>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</si>
  <si>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</si>
  <si>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</si>
  <si>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</si>
  <si>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</si>
  <si>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</si>
  <si>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</si>
  <si>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</si>
  <si>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</si>
  <si>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</si>
  <si>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</si>
  <si>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</si>
  <si>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</si>
  <si>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</si>
  <si>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</si>
  <si>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</si>
  <si>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</si>
  <si>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</si>
  <si>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</si>
  <si>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</si>
  <si>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</si>
  <si>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</si>
  <si>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</si>
  <si>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</si>
  <si>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</si>
  <si>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</si>
  <si>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</si>
  <si>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</si>
  <si>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</si>
  <si>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</si>
  <si>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</si>
  <si>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</si>
  <si>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</si>
  <si>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</si>
  <si>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</si>
  <si>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</si>
  <si>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</si>
  <si>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</si>
  <si>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</si>
  <si>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</si>
  <si>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</si>
  <si>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</si>
  <si>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</si>
  <si>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</si>
  <si>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</si>
  <si>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</si>
  <si>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</si>
  <si>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</si>
  <si>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</si>
  <si>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</si>
  <si>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</si>
  <si>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</si>
  <si>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</si>
  <si>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</si>
  <si>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</si>
  <si>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</si>
  <si>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</si>
  <si>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</si>
  <si>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</si>
  <si>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</si>
  <si>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</si>
  <si>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</si>
  <si>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</si>
  <si>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</si>
  <si>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</si>
  <si>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</si>
  <si>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</si>
  <si>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</si>
  <si>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</si>
  <si>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</si>
  <si>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</si>
  <si>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</si>
  <si>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</si>
  <si>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</si>
  <si>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</si>
  <si>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</si>
  <si>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</si>
  <si>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</si>
  <si>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</si>
  <si>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</si>
  <si>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</si>
  <si>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</si>
  <si>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</si>
  <si>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</si>
  <si>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</si>
  <si>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</si>
  <si>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</si>
  <si>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</si>
  <si>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</si>
  <si>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</si>
  <si>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</si>
  <si>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</si>
  <si>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</si>
  <si>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</si>
  <si>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</si>
  <si>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</si>
  <si>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</si>
  <si>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</si>
  <si>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</si>
  <si>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</si>
  <si>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</si>
  <si>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</si>
  <si>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</si>
  <si>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</si>
  <si>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</si>
  <si>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</si>
  <si>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</si>
  <si>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</si>
  <si>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</si>
  <si>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</si>
  <si>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</si>
  <si>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</si>
  <si>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</si>
  <si>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</si>
  <si>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</si>
  <si>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</si>
  <si>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</si>
  <si>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</si>
  <si>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</si>
  <si>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</si>
  <si>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</si>
  <si>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</si>
  <si>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</si>
  <si>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</si>
  <si>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</si>
  <si>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</si>
  <si>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</si>
  <si>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</si>
  <si>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</si>
  <si>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</si>
  <si>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</si>
  <si>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</si>
  <si>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</si>
  <si>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</si>
  <si>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</si>
  <si>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</si>
  <si>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</si>
  <si>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</si>
  <si>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</si>
  <si>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</si>
  <si>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</si>
  <si>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</si>
  <si>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</si>
  <si>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</si>
  <si>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</si>
  <si>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</si>
  <si>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</si>
  <si>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</si>
  <si>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</si>
  <si>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</si>
  <si>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</si>
  <si>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</si>
  <si>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</si>
  <si>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</si>
  <si>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</si>
  <si>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</si>
  <si>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</si>
  <si>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</si>
  <si>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</si>
  <si>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</si>
  <si>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</si>
  <si>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</si>
  <si>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</si>
  <si>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</si>
  <si>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</si>
  <si>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</si>
  <si>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</si>
  <si>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</si>
  <si>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</si>
  <si>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</si>
  <si>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</si>
  <si>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</si>
  <si>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</si>
  <si>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</si>
  <si>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</si>
  <si>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</si>
  <si>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</si>
  <si>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</si>
  <si>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</si>
  <si>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</si>
  <si>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</si>
  <si>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</si>
  <si>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</si>
  <si>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</si>
  <si>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</si>
  <si>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</si>
  <si>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</si>
  <si>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</si>
  <si>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</si>
  <si>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</si>
  <si>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</si>
  <si>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</si>
  <si>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</si>
  <si>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</si>
  <si>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</si>
  <si>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</si>
  <si>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</si>
  <si>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</si>
  <si>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</si>
  <si>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</si>
  <si>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</si>
  <si>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</si>
  <si>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</si>
  <si>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</si>
  <si>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</si>
  <si>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</si>
  <si>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</si>
  <si>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</si>
  <si>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</si>
  <si>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</si>
  <si>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</si>
  <si>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</si>
  <si>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</si>
  <si>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</si>
  <si>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</si>
  <si>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</si>
  <si>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</si>
  <si>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</si>
  <si>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</si>
  <si>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</si>
  <si>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</si>
  <si>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</si>
  <si>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</si>
  <si>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</si>
  <si>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</si>
  <si>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</si>
  <si>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</si>
  <si>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</si>
  <si>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</si>
  <si>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</si>
  <si>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</si>
  <si>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</si>
  <si>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</si>
  <si>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</si>
  <si>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</si>
  <si>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</si>
  <si>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</si>
  <si>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</si>
  <si>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</si>
  <si>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</si>
  <si>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</si>
  <si>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</si>
  <si>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</si>
  <si>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</si>
  <si>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</si>
  <si>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</si>
  <si>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</si>
  <si>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</si>
  <si>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</si>
  <si>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</si>
  <si>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</si>
  <si>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</si>
  <si>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</si>
  <si>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</si>
  <si>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</si>
  <si>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</si>
  <si>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</si>
  <si>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</si>
  <si>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</si>
  <si>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</si>
  <si>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</si>
  <si>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</si>
  <si>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</si>
  <si>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</si>
  <si>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</si>
  <si>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</si>
  <si>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</si>
  <si>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</si>
  <si>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</si>
  <si>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</si>
  <si>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</si>
  <si>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</si>
  <si>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</si>
  <si>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</si>
  <si>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</si>
  <si>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</si>
  <si>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</si>
  <si>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</si>
  <si>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</si>
  <si>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</si>
  <si>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</si>
  <si>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</si>
  <si>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</si>
  <si>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</si>
  <si>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</si>
  <si>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</si>
  <si>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</si>
  <si>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</si>
  <si>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</si>
  <si>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</si>
  <si>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</si>
  <si>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</si>
  <si>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</si>
  <si>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</si>
  <si>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</si>
  <si>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</si>
  <si>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</si>
  <si>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</si>
  <si>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</si>
  <si>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</si>
  <si>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</si>
  <si>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</si>
  <si>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</si>
  <si>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</si>
  <si>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</si>
  <si>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</si>
  <si>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</si>
  <si>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</si>
  <si>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</si>
  <si>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</si>
  <si>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</si>
  <si>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</si>
  <si>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</si>
  <si>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</si>
  <si>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</si>
  <si>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</si>
  <si>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</si>
  <si>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</si>
  <si>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</si>
  <si>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</si>
  <si>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</si>
  <si>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</si>
  <si>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</si>
  <si>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</si>
  <si>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</si>
  <si>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</si>
  <si>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</si>
  <si>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</si>
  <si>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</si>
  <si>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</si>
  <si>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</si>
  <si>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</si>
  <si>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</si>
  <si>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</si>
  <si>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</si>
  <si>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</si>
  <si>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</si>
  <si>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</si>
  <si>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</si>
  <si>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</si>
  <si>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</si>
  <si>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</si>
  <si>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</si>
  <si>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</si>
  <si>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</si>
  <si>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</si>
  <si>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</si>
  <si>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</si>
  <si>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</si>
  <si>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</si>
  <si>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</si>
  <si>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</si>
  <si>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</si>
  <si>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</si>
  <si>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</si>
  <si>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</si>
  <si>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</si>
  <si>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</si>
  <si>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</si>
  <si>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</si>
  <si>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</si>
  <si>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</si>
  <si>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</si>
  <si>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</si>
  <si>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</si>
  <si>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</si>
  <si>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</si>
  <si>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</si>
  <si>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</si>
  <si>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</si>
  <si>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</si>
  <si>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</si>
  <si>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</si>
  <si>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</si>
  <si>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</si>
  <si>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</si>
  <si>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</si>
  <si>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</si>
  <si>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</si>
  <si>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</si>
  <si>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</si>
  <si>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</si>
  <si>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</si>
  <si>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</si>
  <si>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</si>
  <si>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</si>
  <si>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</si>
  <si>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</si>
  <si>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</si>
  <si>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</si>
  <si>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</si>
  <si>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</si>
  <si>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</si>
  <si>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</si>
  <si>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</si>
  <si>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</si>
  <si>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</si>
  <si>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</si>
  <si>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</si>
  <si>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</si>
  <si>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</si>
  <si>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</si>
  <si>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</si>
  <si>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</si>
  <si>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</si>
  <si>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</si>
  <si>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</si>
  <si>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</si>
  <si>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</si>
  <si>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</si>
  <si>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</si>
  <si>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</si>
  <si>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</si>
  <si>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</si>
  <si>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</si>
  <si>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</si>
  <si>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</si>
  <si>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</si>
  <si>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</si>
  <si>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</si>
  <si>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</si>
  <si>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</si>
  <si>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</si>
  <si>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</si>
  <si>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</si>
  <si>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</si>
  <si>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</si>
  <si>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</si>
  <si>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</si>
  <si>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</si>
  <si>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</si>
  <si>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</si>
  <si>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</si>
  <si>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</si>
  <si>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</si>
  <si>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</si>
  <si>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</si>
  <si>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</si>
  <si>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</si>
  <si>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</si>
  <si>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</si>
  <si>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</si>
  <si>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</si>
  <si>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</si>
  <si>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</si>
  <si>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</si>
  <si>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</si>
  <si>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</si>
  <si>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</si>
  <si>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</si>
  <si>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</si>
  <si>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</si>
  <si>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</si>
  <si>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</si>
  <si>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</si>
  <si>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</si>
  <si>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</si>
  <si>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</si>
  <si>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</si>
  <si>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</si>
  <si>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</si>
  <si>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</si>
  <si>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</si>
  <si>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</si>
  <si>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</si>
  <si>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</si>
  <si>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</si>
  <si>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</si>
  <si>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</si>
  <si>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</si>
  <si>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</si>
  <si>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</si>
  <si>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</si>
  <si>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</si>
  <si>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</si>
  <si>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</si>
  <si>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</si>
  <si>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</si>
  <si>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</si>
  <si>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</si>
  <si>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</si>
  <si>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</si>
  <si>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</si>
  <si>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</si>
  <si>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</si>
  <si>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</si>
  <si>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</si>
  <si>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</si>
  <si>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</si>
  <si>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</si>
  <si>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</si>
  <si>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</si>
  <si>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</si>
  <si>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</si>
  <si>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</si>
  <si>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</si>
  <si>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</si>
  <si>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</si>
  <si>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</si>
  <si>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</si>
  <si>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</si>
  <si>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</si>
  <si>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</si>
  <si>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</si>
  <si>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</si>
  <si>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</si>
  <si>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</si>
  <si>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</si>
  <si>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</si>
  <si>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</si>
  <si>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</si>
  <si>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</si>
  <si>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</si>
  <si>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</si>
  <si>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</si>
  <si>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</si>
  <si>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</si>
  <si>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</si>
  <si>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</si>
  <si>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</si>
  <si>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</si>
  <si>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</si>
  <si>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</si>
  <si>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</si>
  <si>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</si>
  <si>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</si>
  <si>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</si>
  <si>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</si>
  <si>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</si>
  <si>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</si>
  <si>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</si>
  <si>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</si>
  <si>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</si>
  <si>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</si>
  <si>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</si>
  <si>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</si>
  <si>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</si>
  <si>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</si>
  <si>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</si>
  <si>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</si>
  <si>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</si>
  <si>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</si>
  <si>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</si>
  <si>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</si>
  <si>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</si>
  <si>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</si>
  <si>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</si>
  <si>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</si>
  <si>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</si>
  <si>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</si>
  <si>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</si>
  <si>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</si>
  <si>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</si>
  <si>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</si>
  <si>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</si>
  <si>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</si>
  <si>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</si>
  <si>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</si>
  <si>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</si>
  <si>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</si>
  <si>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</si>
  <si>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</si>
  <si>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</si>
  <si>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</si>
  <si>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</si>
  <si>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</si>
  <si>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</si>
  <si>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</si>
  <si>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</si>
  <si>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</si>
  <si>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</si>
  <si>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</si>
  <si>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</si>
  <si>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</si>
  <si>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</si>
  <si>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</si>
  <si>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</si>
  <si>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</si>
  <si>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</si>
  <si>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</si>
  <si>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</si>
  <si>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</si>
  <si>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</si>
  <si>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</si>
  <si>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</si>
  <si>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</si>
  <si>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</si>
  <si>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</si>
  <si>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</si>
  <si>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</si>
  <si>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</si>
  <si>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</si>
  <si>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</si>
  <si>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</si>
  <si>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</si>
  <si>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</si>
  <si>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</si>
  <si>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</si>
  <si>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</si>
  <si>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</si>
  <si>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</si>
  <si>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</si>
  <si>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</si>
  <si>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</si>
  <si>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</si>
  <si>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</si>
  <si>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</si>
  <si>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</si>
  <si>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</si>
  <si>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</si>
  <si>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</si>
  <si>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</si>
  <si>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</si>
  <si>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</si>
  <si>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</si>
  <si>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</si>
  <si>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</si>
  <si>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</si>
  <si>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</si>
  <si>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</si>
  <si>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</si>
  <si>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</si>
  <si>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</si>
  <si>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</si>
  <si>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</si>
  <si>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</si>
  <si>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</si>
  <si>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</si>
  <si>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</si>
  <si>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</si>
  <si>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</si>
  <si>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</si>
  <si>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</si>
  <si>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</si>
  <si>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</si>
  <si>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</si>
  <si>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</si>
  <si>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</si>
  <si>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</si>
  <si>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</si>
  <si>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</si>
  <si>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</si>
  <si>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</si>
  <si>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</si>
  <si>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</si>
  <si>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</si>
  <si>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</si>
  <si>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</si>
  <si>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</si>
  <si>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</si>
  <si>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</si>
  <si>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</si>
  <si>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</si>
  <si>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</si>
  <si>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</si>
  <si>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</si>
  <si>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</si>
  <si>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</si>
  <si>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</si>
  <si>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</si>
  <si>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</si>
  <si>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</si>
  <si>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</si>
  <si>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</si>
  <si>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</si>
  <si>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</si>
  <si>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</si>
  <si>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</si>
  <si>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</si>
  <si>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</si>
  <si>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</si>
  <si>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</si>
  <si>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</si>
  <si>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</si>
  <si>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</si>
  <si>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</si>
  <si>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</si>
  <si>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</si>
  <si>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</si>
  <si>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</si>
  <si>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</si>
  <si>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</si>
  <si>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</si>
  <si>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</si>
  <si>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</si>
  <si>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</si>
  <si>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</si>
  <si>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</si>
  <si>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</si>
  <si>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</si>
  <si>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</si>
  <si>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</si>
  <si>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</si>
  <si>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</si>
  <si>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</si>
  <si>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</si>
  <si>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</si>
  <si>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</si>
  <si>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</si>
  <si>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</si>
  <si>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</si>
  <si>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</si>
  <si>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</si>
  <si>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</si>
  <si>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</si>
  <si>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</si>
  <si>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</si>
  <si>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</si>
  <si>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</si>
  <si>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</si>
  <si>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</si>
  <si>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</si>
  <si>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</si>
  <si>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</si>
  <si>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</si>
  <si>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</si>
  <si>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</si>
  <si>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</si>
  <si>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</si>
  <si>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</si>
  <si>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</si>
  <si>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</si>
  <si>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</si>
  <si>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</si>
  <si>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</si>
  <si>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</si>
  <si>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</si>
  <si>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</si>
  <si>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</si>
  <si>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</si>
  <si>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</si>
  <si>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</si>
  <si>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</si>
  <si>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</si>
  <si>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</si>
  <si>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</si>
  <si>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</si>
  <si>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</si>
  <si>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</si>
  <si>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</si>
  <si>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</si>
  <si>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</si>
  <si>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</si>
  <si>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</si>
  <si>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</si>
  <si>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</si>
  <si>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</si>
  <si>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</si>
  <si>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</si>
  <si>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</si>
  <si>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</si>
  <si>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</si>
  <si>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</si>
  <si>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</si>
  <si>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</si>
  <si>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</si>
  <si>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</si>
  <si>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</si>
  <si>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</si>
  <si>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</si>
  <si>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</si>
  <si>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</si>
  <si>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</si>
  <si>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</si>
  <si>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</si>
  <si>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</si>
  <si>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</si>
  <si>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</si>
  <si>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</si>
  <si>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</si>
  <si>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</si>
  <si>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</si>
  <si>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</si>
  <si>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</si>
  <si>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</si>
  <si>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</si>
  <si>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</si>
  <si>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</si>
  <si>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</si>
  <si>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</si>
  <si>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</si>
  <si>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</si>
  <si>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</si>
  <si>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</si>
  <si>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</si>
  <si>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</si>
  <si>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</si>
  <si>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</si>
  <si>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</si>
  <si>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</si>
  <si>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</si>
  <si>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</si>
  <si>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</si>
  <si>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</si>
  <si>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</si>
  <si>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</si>
  <si>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</si>
  <si>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</si>
  <si>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</si>
  <si>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</si>
  <si>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</si>
  <si>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</si>
  <si>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</si>
  <si>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</si>
  <si>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</si>
  <si>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</si>
  <si>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</si>
  <si>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</si>
  <si>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</si>
  <si>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</si>
  <si>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</si>
  <si>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</si>
  <si>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</si>
  <si>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</si>
  <si>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</si>
  <si>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</si>
  <si>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</si>
  <si>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</si>
  <si>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</si>
  <si>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</si>
  <si>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</si>
  <si>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</si>
  <si>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</si>
  <si>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</si>
  <si>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</si>
  <si>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</si>
  <si>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</si>
  <si>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</si>
  <si>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</si>
  <si>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</si>
  <si>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</si>
  <si>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</si>
  <si>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</si>
  <si>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</si>
  <si>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</si>
  <si>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</si>
  <si>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</si>
  <si>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</si>
  <si>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</si>
  <si>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</si>
  <si>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</si>
  <si>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</si>
  <si>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</si>
  <si>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</si>
  <si>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</si>
  <si>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</si>
  <si>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</si>
  <si>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</si>
  <si>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</si>
  <si>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</si>
  <si>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</si>
  <si>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</si>
  <si>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</si>
  <si>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</si>
  <si>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</si>
  <si>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</si>
  <si>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</si>
  <si>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</si>
  <si>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</si>
  <si>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</si>
  <si>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</si>
  <si>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</si>
  <si>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</si>
  <si>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</si>
  <si>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</si>
  <si>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</si>
  <si>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</si>
  <si>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</si>
  <si>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</si>
  <si>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</si>
  <si>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</si>
  <si>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</si>
  <si>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</si>
  <si>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</si>
  <si>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</si>
  <si>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</si>
  <si>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</si>
  <si>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</si>
  <si>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</si>
  <si>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</si>
  <si>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</si>
  <si>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</si>
  <si>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</si>
  <si>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</si>
  <si>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</si>
  <si>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</si>
  <si>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</si>
  <si>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</si>
  <si>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</si>
  <si>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</si>
  <si>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</si>
  <si>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</si>
  <si>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</si>
  <si>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</si>
  <si>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</si>
  <si>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</si>
  <si>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</si>
  <si>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</si>
  <si>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</si>
  <si>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</si>
  <si>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</si>
  <si>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</si>
  <si>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</si>
  <si>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</si>
  <si>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</si>
  <si>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</si>
  <si>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</si>
  <si>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</si>
  <si>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</si>
  <si>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</si>
  <si>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</si>
  <si>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</si>
  <si>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</si>
  <si>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</si>
  <si>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</si>
  <si>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</si>
  <si>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</si>
  <si>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</si>
  <si>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</si>
  <si>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</si>
  <si>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</si>
  <si>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</si>
  <si>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</si>
  <si>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</si>
  <si>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</si>
  <si>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</si>
  <si>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</si>
  <si>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</si>
  <si>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</si>
  <si>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</si>
  <si>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</si>
  <si>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</si>
  <si>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</si>
  <si>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</si>
  <si>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</si>
  <si>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</si>
  <si>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</si>
  <si>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</si>
  <si>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</si>
  <si>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</si>
  <si>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</si>
  <si>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</si>
  <si>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</si>
  <si>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</si>
  <si>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</si>
  <si>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</si>
  <si>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</si>
  <si>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</si>
  <si>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</si>
  <si>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</si>
  <si>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</si>
  <si>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</si>
  <si>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</si>
  <si>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</si>
  <si>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</si>
  <si>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</si>
  <si>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</si>
  <si>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</si>
  <si>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</si>
  <si>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</si>
  <si>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</si>
  <si>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</si>
  <si>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</si>
  <si>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</si>
  <si>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</si>
  <si>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</si>
  <si>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</si>
  <si>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</si>
  <si>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</si>
  <si>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</si>
  <si>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</si>
  <si>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</si>
  <si>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</si>
  <si>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</si>
  <si>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</si>
  <si>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</si>
  <si>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</si>
  <si>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</si>
  <si>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</si>
  <si>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</si>
  <si>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</si>
  <si>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</si>
  <si>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</si>
  <si>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</si>
  <si>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</si>
  <si>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</si>
  <si>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</si>
  <si>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</si>
  <si>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</si>
  <si>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</si>
  <si>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</si>
  <si>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</si>
  <si>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</si>
  <si>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</si>
  <si>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</si>
  <si>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</si>
  <si>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</si>
  <si>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</si>
  <si>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</si>
  <si>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</si>
  <si>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</si>
  <si>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</si>
  <si>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</si>
  <si>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</si>
  <si>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</si>
  <si>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</si>
  <si>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</si>
  <si>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</si>
  <si>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</si>
  <si>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</si>
  <si>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</si>
  <si>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</si>
  <si>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</si>
  <si>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</si>
  <si>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</si>
  <si>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</si>
  <si>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</si>
  <si>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</si>
  <si>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</si>
  <si>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</si>
  <si>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</si>
  <si>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</si>
  <si>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</si>
  <si>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</si>
  <si>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</si>
  <si>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</si>
  <si>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</si>
  <si>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</si>
  <si>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</si>
  <si>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</si>
  <si>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</si>
  <si>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</si>
  <si>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</si>
  <si>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</si>
  <si>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</si>
  <si>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</si>
  <si>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</si>
  <si>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</si>
  <si>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</si>
  <si>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</si>
  <si>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</si>
  <si>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</si>
  <si>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</si>
  <si>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</si>
  <si>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</si>
  <si>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</si>
  <si>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</si>
  <si>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</si>
  <si>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</si>
  <si>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</si>
  <si>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</si>
  <si>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</si>
  <si>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</si>
  <si>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</si>
  <si>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</si>
  <si>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</si>
  <si>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</si>
  <si>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</si>
  <si>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</si>
  <si>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</si>
  <si>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</si>
  <si>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</si>
  <si>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</si>
  <si>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</si>
  <si>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</si>
  <si>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</si>
  <si>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</si>
  <si>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</si>
  <si>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</si>
  <si>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</si>
  <si>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</si>
  <si>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</si>
  <si>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</si>
  <si>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</si>
  <si>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</si>
  <si>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</si>
  <si>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</si>
  <si>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</si>
  <si>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</si>
  <si>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</si>
  <si>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</si>
  <si>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</si>
  <si>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</si>
  <si>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</si>
  <si>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</si>
  <si>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</si>
  <si>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</si>
  <si>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</si>
  <si>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</si>
  <si>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</si>
  <si>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</si>
  <si>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</si>
  <si>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</si>
  <si>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</si>
  <si>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</si>
  <si>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</si>
  <si>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</si>
  <si>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</si>
  <si>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</si>
  <si>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</si>
  <si>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</si>
  <si>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</si>
  <si>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</si>
  <si>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</si>
  <si>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</si>
  <si>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</si>
  <si>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</si>
  <si>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</si>
  <si>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</si>
  <si>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</si>
  <si>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</si>
  <si>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</si>
  <si>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</si>
  <si>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</si>
  <si>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</si>
  <si>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</si>
  <si>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</si>
  <si>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</si>
  <si>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</si>
  <si>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</si>
  <si>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</si>
  <si>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</si>
  <si>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</si>
  <si>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</si>
  <si>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</si>
  <si>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</si>
  <si>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</si>
  <si>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</si>
  <si>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</si>
  <si>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</si>
  <si>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</si>
  <si>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</si>
  <si>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</si>
  <si>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</si>
  <si>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</si>
  <si>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</si>
  <si>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</si>
  <si>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</si>
  <si>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</si>
  <si>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</si>
  <si>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</si>
  <si>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</si>
  <si>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</si>
  <si>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</si>
  <si>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</si>
  <si>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</si>
  <si>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</si>
  <si>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</si>
  <si>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</si>
  <si>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</si>
  <si>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</si>
  <si>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</si>
  <si>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</si>
  <si>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</si>
  <si>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</si>
  <si>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</si>
  <si>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</si>
  <si>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</si>
  <si>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</si>
  <si>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</si>
  <si>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</si>
  <si>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</si>
  <si>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</si>
  <si>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</si>
  <si>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</si>
  <si>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</si>
  <si>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</si>
  <si>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</si>
  <si>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</si>
  <si>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</si>
  <si>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</si>
  <si>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</si>
  <si>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</si>
  <si>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</si>
  <si>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</si>
  <si>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</si>
  <si>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</si>
  <si>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</si>
  <si>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</si>
  <si>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</si>
  <si>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</si>
  <si>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</si>
  <si>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</si>
  <si>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</si>
  <si>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</si>
  <si>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</si>
  <si>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</si>
  <si>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</si>
  <si>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</si>
  <si>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</si>
  <si>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</si>
  <si>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</si>
  <si>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</si>
  <si>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</si>
  <si>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</si>
  <si>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</si>
  <si>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</si>
  <si>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</si>
  <si>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</si>
  <si>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</si>
  <si>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</si>
  <si>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</si>
  <si>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</si>
  <si>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</si>
  <si>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</si>
  <si>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</si>
  <si>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</si>
  <si>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</si>
  <si>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</si>
  <si>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</si>
  <si>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</si>
  <si>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</si>
  <si>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</si>
  <si>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</si>
  <si>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</si>
  <si>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</si>
  <si>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</si>
  <si>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</si>
  <si>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</si>
  <si>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</si>
  <si>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</si>
  <si>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</si>
  <si>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</si>
  <si>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</si>
  <si>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</si>
  <si>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</si>
  <si>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</si>
  <si>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</si>
  <si>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</si>
  <si>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</si>
  <si>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</si>
  <si>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</si>
  <si>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</si>
  <si>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</si>
  <si>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</si>
  <si>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</si>
  <si>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</si>
  <si>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</si>
  <si>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</si>
  <si>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</si>
  <si>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</si>
  <si>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</si>
  <si>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</si>
  <si>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</si>
  <si>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</si>
  <si>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</si>
  <si>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</si>
  <si>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</si>
  <si>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</si>
  <si>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</si>
  <si>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</si>
  <si>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</si>
  <si>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</si>
  <si>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</si>
  <si>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</si>
  <si>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</si>
  <si>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</si>
  <si>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</si>
  <si>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</si>
  <si>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</si>
  <si>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</si>
  <si>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</si>
  <si>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</si>
  <si>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</si>
  <si>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</si>
  <si>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</si>
  <si>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</si>
  <si>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</si>
  <si>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</si>
  <si>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</si>
  <si>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</si>
  <si>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</si>
  <si>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</si>
  <si>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</si>
  <si>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</si>
  <si>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</si>
  <si>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</si>
  <si>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</si>
  <si>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</si>
  <si>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</si>
  <si>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</si>
  <si>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</si>
  <si>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</si>
  <si>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</si>
  <si>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</si>
  <si>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</si>
  <si>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</si>
  <si>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</si>
  <si>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</si>
  <si>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</si>
  <si>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</si>
  <si>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</si>
  <si>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</si>
  <si>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</si>
  <si>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</si>
  <si>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</si>
  <si>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</si>
  <si>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</si>
  <si>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</si>
  <si>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</si>
  <si>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</si>
  <si>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</si>
  <si>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</si>
  <si>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</si>
  <si>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</si>
  <si>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</si>
  <si>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</si>
  <si>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</si>
  <si>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</si>
  <si>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</si>
  <si>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</si>
  <si>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</si>
  <si>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</si>
  <si>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</si>
  <si>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</si>
  <si>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</si>
  <si>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</si>
  <si>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</si>
  <si>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</si>
  <si>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</si>
  <si>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</si>
  <si>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</si>
  <si>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</si>
  <si>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</si>
  <si>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</si>
  <si>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</si>
  <si>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</si>
  <si>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</si>
  <si>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</si>
  <si>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</si>
  <si>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</si>
  <si>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</si>
  <si>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</si>
  <si>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</si>
  <si>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</si>
  <si>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</si>
  <si>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</si>
  <si>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</si>
  <si>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</si>
  <si>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</si>
  <si>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</si>
  <si>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</si>
  <si>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</si>
  <si>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</si>
  <si>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</si>
  <si>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</si>
  <si>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</si>
  <si>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</si>
  <si>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</si>
  <si>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</si>
  <si>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</si>
  <si>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</si>
  <si>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</si>
  <si>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</si>
  <si>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</si>
  <si>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</si>
  <si>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</si>
  <si>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</si>
  <si>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</si>
  <si>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</si>
  <si>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</si>
  <si>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</si>
  <si>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</si>
  <si>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</si>
  <si>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</si>
  <si>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</si>
  <si>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</si>
  <si>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</si>
  <si>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</si>
  <si>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</si>
  <si>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</si>
  <si>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</si>
  <si>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</si>
  <si>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</si>
  <si>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</si>
  <si>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</si>
  <si>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</si>
  <si>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</si>
  <si>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</si>
  <si>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</si>
  <si>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</si>
  <si>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</si>
  <si>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</si>
  <si>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</si>
  <si>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</si>
  <si>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</si>
  <si>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</si>
  <si>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</si>
  <si>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</si>
  <si>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</si>
  <si>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</si>
  <si>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</si>
  <si>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</si>
  <si>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</si>
  <si>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</si>
  <si>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</si>
  <si>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</si>
  <si>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</si>
  <si>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</si>
  <si>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</si>
  <si>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</si>
  <si>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</si>
  <si>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</si>
  <si>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</si>
  <si>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</si>
  <si>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</si>
  <si>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</si>
  <si>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</si>
  <si>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</si>
  <si>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</si>
  <si>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</si>
  <si>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</si>
  <si>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</si>
  <si>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</si>
  <si>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</si>
  <si>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</si>
  <si>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</si>
  <si>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</si>
  <si>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</si>
  <si>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</si>
  <si>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</si>
  <si>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</si>
  <si>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</si>
  <si>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</si>
  <si>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</si>
  <si>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</si>
  <si>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</si>
  <si>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</si>
  <si>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</si>
  <si>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</si>
  <si>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</si>
  <si>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</si>
  <si>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</si>
  <si>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</si>
  <si>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</si>
  <si>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</si>
  <si>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</si>
  <si>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</si>
  <si>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</si>
  <si>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</si>
  <si>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</si>
  <si>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</si>
  <si>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</si>
  <si>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</si>
  <si>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</si>
  <si>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</si>
  <si>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</si>
  <si>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</si>
  <si>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</si>
  <si>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</si>
  <si>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</si>
  <si>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</si>
  <si>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</si>
  <si>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</si>
  <si>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</si>
  <si>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</si>
  <si>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</si>
  <si>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</si>
  <si>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</si>
  <si>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</si>
  <si>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</si>
  <si>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</si>
  <si>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</si>
  <si>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</si>
  <si>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</si>
  <si>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</si>
  <si>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</si>
  <si>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</si>
  <si>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</si>
  <si>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</si>
  <si>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</si>
  <si>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</si>
  <si>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</si>
  <si>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</si>
  <si>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</si>
  <si>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</si>
  <si>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</si>
  <si>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</si>
  <si>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</si>
  <si>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</si>
  <si>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</si>
  <si>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</si>
  <si>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</si>
  <si>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</si>
  <si>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</si>
  <si>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</si>
  <si>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</si>
  <si>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</si>
  <si>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</si>
  <si>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</si>
  <si>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</si>
  <si>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</si>
  <si>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</si>
  <si>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</si>
  <si>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</si>
  <si>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</si>
  <si>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</si>
  <si>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</si>
  <si>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</si>
  <si>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</si>
  <si>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</si>
  <si>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</si>
  <si>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</si>
  <si>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</si>
  <si>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</si>
  <si>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</si>
  <si>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</si>
  <si>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</si>
  <si>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</si>
  <si>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</si>
  <si>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</si>
  <si>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</si>
  <si>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</si>
  <si>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</si>
  <si>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</si>
  <si>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</si>
  <si>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</si>
  <si>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</si>
  <si>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</si>
  <si>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</si>
  <si>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</si>
  <si>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</si>
  <si>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</si>
  <si>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</si>
  <si>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</si>
  <si>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</si>
  <si>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</si>
  <si>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</si>
  <si>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</si>
  <si>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</si>
  <si>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</si>
  <si>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</si>
  <si>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</si>
  <si>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</si>
  <si>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</si>
  <si>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</si>
  <si>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</si>
  <si>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</si>
  <si>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</si>
  <si>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</si>
  <si>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</si>
  <si>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</si>
  <si>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</si>
  <si>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</si>
  <si>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</si>
  <si>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</si>
  <si>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</si>
  <si>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</si>
  <si>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</si>
  <si>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</si>
  <si>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</si>
  <si>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</si>
  <si>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</si>
  <si>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</si>
  <si>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</si>
  <si>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</si>
  <si>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</si>
  <si>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</si>
  <si>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</si>
  <si>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</si>
  <si>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</si>
  <si>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</si>
  <si>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</si>
  <si>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</si>
  <si>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</si>
  <si>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</si>
  <si>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</si>
  <si>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</si>
  <si>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</si>
  <si>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</si>
  <si>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</si>
  <si>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</si>
  <si>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</si>
  <si>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</si>
  <si>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</si>
  <si>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</si>
  <si>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</si>
  <si>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</si>
  <si>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</si>
  <si>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</si>
  <si>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</si>
  <si>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</si>
  <si>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</si>
  <si>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</si>
  <si>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</si>
  <si>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</si>
  <si>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</si>
  <si>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</si>
  <si>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</si>
  <si>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</si>
  <si>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</si>
  <si>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</si>
  <si>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</si>
  <si>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</si>
  <si>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</si>
  <si>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</si>
  <si>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</si>
  <si>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</si>
  <si>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</si>
  <si>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</si>
  <si>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</si>
  <si>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</si>
  <si>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</si>
  <si>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</si>
  <si>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</si>
  <si>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</si>
  <si>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</si>
  <si>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</si>
  <si>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</si>
  <si>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</si>
  <si>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</si>
  <si>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</si>
  <si>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</si>
  <si>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</si>
  <si>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</si>
  <si>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</si>
  <si>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</si>
  <si>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</si>
  <si>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</si>
  <si>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</si>
  <si>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</si>
  <si>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</si>
  <si>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</si>
  <si>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</si>
  <si>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</si>
  <si>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</si>
  <si>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</si>
  <si>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</si>
  <si>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</si>
  <si>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</si>
  <si>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</si>
  <si>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</si>
  <si>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</si>
  <si>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</si>
  <si>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</si>
  <si>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</si>
  <si>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</si>
  <si>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</si>
  <si>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</si>
  <si>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</si>
  <si>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</si>
  <si>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</si>
  <si>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</si>
  <si>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</si>
  <si>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</si>
  <si>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</si>
  <si>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</si>
  <si>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</si>
  <si>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</si>
  <si>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</si>
  <si>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</si>
  <si>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</si>
  <si>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</si>
  <si>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</si>
  <si>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</si>
  <si>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</si>
  <si>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</si>
  <si>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</si>
  <si>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</si>
  <si>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</si>
  <si>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</si>
  <si>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</si>
  <si>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</si>
  <si>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</si>
  <si>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</si>
  <si>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</si>
  <si>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</si>
  <si>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</si>
  <si>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</si>
  <si>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</si>
  <si>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</si>
  <si>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</si>
  <si>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</si>
  <si>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</si>
  <si>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</si>
  <si>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</si>
  <si>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</si>
  <si>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</si>
  <si>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</si>
  <si>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</si>
  <si>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</si>
  <si>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</si>
  <si>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</si>
  <si>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</si>
  <si>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</si>
  <si>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</si>
  <si>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</si>
  <si>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</si>
  <si>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</si>
  <si>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</si>
  <si>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</si>
  <si>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</si>
  <si>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</si>
  <si>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</si>
  <si>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</si>
  <si>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</si>
  <si>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</si>
  <si>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</si>
  <si>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</si>
  <si>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</si>
  <si>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</si>
  <si>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</si>
  <si>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</si>
  <si>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</si>
  <si>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</si>
  <si>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</si>
  <si>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</si>
  <si>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</si>
  <si>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</si>
  <si>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</si>
  <si>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</si>
  <si>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</si>
  <si>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</si>
  <si>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</si>
  <si>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</si>
  <si>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</si>
  <si>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</si>
  <si>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</si>
  <si>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</si>
  <si>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</si>
  <si>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</si>
  <si>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</si>
  <si>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</si>
  <si>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</si>
  <si>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</si>
  <si>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</si>
  <si>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</si>
  <si>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</si>
  <si>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</si>
  <si>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</si>
  <si>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</si>
  <si>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</si>
  <si>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</si>
  <si>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</si>
  <si>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</si>
  <si>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</si>
  <si>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</si>
  <si>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</si>
  <si>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</si>
  <si>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</si>
  <si>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</si>
  <si>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</si>
  <si>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</si>
  <si>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</si>
  <si>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</si>
  <si>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</si>
  <si>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</si>
  <si>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</si>
  <si>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</si>
  <si>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</si>
  <si>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</si>
  <si>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</si>
  <si>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</si>
  <si>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</si>
  <si>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</si>
  <si>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</si>
  <si>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</si>
  <si>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</si>
  <si>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</si>
  <si>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</si>
  <si>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</si>
  <si>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</si>
  <si>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</si>
  <si>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</si>
  <si>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</si>
  <si>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</si>
  <si>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</si>
  <si>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</si>
  <si>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</si>
  <si>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</si>
  <si>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</si>
  <si>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</si>
  <si>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</si>
  <si>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</si>
  <si>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</si>
  <si>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</si>
  <si>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</si>
  <si>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</si>
  <si>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</si>
  <si>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</si>
  <si>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</si>
  <si>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</si>
  <si>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</si>
  <si>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</si>
  <si>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</si>
  <si>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</si>
  <si>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</si>
  <si>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</si>
  <si>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</si>
  <si>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</si>
  <si>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</si>
  <si>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</si>
  <si>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</si>
  <si>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</si>
  <si>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</si>
  <si>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</si>
  <si>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</si>
  <si>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</si>
  <si>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</si>
  <si>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</si>
  <si>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</si>
  <si>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</si>
  <si>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</si>
  <si>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</si>
  <si>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</si>
  <si>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</si>
  <si>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</si>
  <si>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</si>
  <si>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</si>
  <si>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</si>
  <si>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</si>
  <si>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</si>
  <si>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</si>
  <si>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</si>
  <si>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</si>
  <si>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</si>
  <si>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</si>
  <si>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</si>
  <si>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</si>
  <si>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</si>
  <si>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</si>
  <si>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</si>
  <si>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</si>
  <si>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</si>
  <si>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</si>
  <si>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</si>
  <si>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</si>
  <si>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</si>
  <si>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</si>
  <si>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</si>
  <si>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</si>
  <si>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</si>
  <si>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</si>
  <si>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</si>
  <si>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</si>
  <si>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</si>
  <si>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</si>
  <si>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</si>
  <si>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</si>
  <si>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</si>
  <si>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</si>
  <si>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</si>
  <si>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</si>
  <si>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</si>
  <si>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</si>
  <si>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</si>
  <si>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</si>
  <si>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</si>
  <si>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</si>
  <si>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</si>
  <si>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</si>
  <si>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</si>
  <si>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</si>
  <si>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</si>
  <si>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</si>
  <si>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</si>
  <si>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</si>
  <si>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</si>
  <si>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</si>
  <si>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</si>
  <si>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</si>
  <si>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</si>
  <si>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</si>
  <si>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</si>
  <si>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</si>
  <si>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</si>
  <si>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</si>
  <si>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</si>
  <si>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</si>
  <si>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</si>
  <si>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</si>
  <si>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</si>
  <si>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</si>
  <si>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</si>
  <si>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</si>
  <si>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</si>
  <si>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code</t>
  </si>
  <si>
    <t>Dataset Overview</t>
  </si>
  <si>
    <t>Total Rows</t>
  </si>
  <si>
    <t>Total Columns</t>
  </si>
  <si>
    <t>Data Range (Start)</t>
  </si>
  <si>
    <t>Data Range (End)</t>
  </si>
  <si>
    <t>Column1</t>
  </si>
  <si>
    <t>Column Name</t>
  </si>
  <si>
    <t>Data Type</t>
  </si>
  <si>
    <t>Null Count</t>
  </si>
  <si>
    <t>Notes</t>
  </si>
  <si>
    <t>Text</t>
  </si>
  <si>
    <t>Unique Identifier</t>
  </si>
  <si>
    <t>Order ID</t>
  </si>
  <si>
    <t>7 product types</t>
  </si>
  <si>
    <t>Unique per person</t>
  </si>
  <si>
    <t>Order date</t>
  </si>
  <si>
    <t>Number</t>
  </si>
  <si>
    <t>Range: 1-5</t>
  </si>
  <si>
    <t>Price per item</t>
  </si>
  <si>
    <t>Shipping Address</t>
  </si>
  <si>
    <t>Street address</t>
  </si>
  <si>
    <t>Payment Method</t>
  </si>
  <si>
    <t>5 payment types</t>
  </si>
  <si>
    <t>5 status types</t>
  </si>
  <si>
    <t>Logistics code</t>
  </si>
  <si>
    <t>Range: 1-10</t>
  </si>
  <si>
    <t>Has blank values</t>
  </si>
  <si>
    <t>Referral Source</t>
  </si>
  <si>
    <t>5 sources</t>
  </si>
  <si>
    <t>Total Price</t>
  </si>
  <si>
    <t>Qty x UnitPrice</t>
  </si>
  <si>
    <t>Metrics</t>
  </si>
  <si>
    <t>Count</t>
  </si>
  <si>
    <t>Mean</t>
  </si>
  <si>
    <t>Median</t>
  </si>
  <si>
    <t>Mode</t>
  </si>
  <si>
    <t>Min</t>
  </si>
  <si>
    <t>Max</t>
  </si>
  <si>
    <t>Std Dev</t>
  </si>
  <si>
    <t>Range</t>
  </si>
  <si>
    <t>Product Distribution</t>
  </si>
  <si>
    <t>Order Count</t>
  </si>
  <si>
    <t>% of Total</t>
  </si>
  <si>
    <t>Total</t>
  </si>
  <si>
    <t>Order Status Distribution</t>
  </si>
  <si>
    <t>Order Status</t>
  </si>
  <si>
    <t>Payment Method Distribution</t>
  </si>
  <si>
    <t>Referral Source Distribution</t>
  </si>
  <si>
    <t>Row Labels</t>
  </si>
  <si>
    <t>Grand Total</t>
  </si>
  <si>
    <t>2023</t>
  </si>
  <si>
    <t>2024</t>
  </si>
  <si>
    <t>2025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</si>
  <si>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</si>
  <si>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</si>
  <si>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</si>
  <si>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</si>
  <si>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</si>
  <si>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</si>
  <si>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</si>
  <si>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</si>
  <si>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</si>
  <si>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</si>
  <si>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</si>
  <si>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</si>
  <si>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</si>
  <si>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TotalPrice Outlier Analysis</t>
  </si>
  <si>
    <t>Q1 (25th Percentile)</t>
  </si>
  <si>
    <t>Q3 (75th Percentile)</t>
  </si>
  <si>
    <t>IQR (Q3-Q1)</t>
  </si>
  <si>
    <t>Lower fence (Q1-1.5xIQR)</t>
  </si>
  <si>
    <t>Upper Fence (Q3+1.5xIQR)</t>
  </si>
  <si>
    <t>Count of Outliers (Below Lower)</t>
  </si>
  <si>
    <t>Count of Outliers (Above Upper)</t>
  </si>
  <si>
    <t>Total Outliers</t>
  </si>
  <si>
    <t>Outlier Summary</t>
  </si>
  <si>
    <t>Total Orders Analyzed</t>
  </si>
  <si>
    <t>Total Outliers Found</t>
  </si>
  <si>
    <t>% of Orders That are Outliers</t>
  </si>
  <si>
    <t>Outliers below Lower fence</t>
  </si>
  <si>
    <t>Outliers above Upper fence</t>
  </si>
  <si>
    <t>Values</t>
  </si>
  <si>
    <t>Outlier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</si>
</sst>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/d/yyyy;@"/>
    <numFmt numFmtId="166" formatCode="&quot;$&quot;#,##0.00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165" fontId="0" fillId="0" borderId="0" xfId="0" applyNumberFormat="1"/>
    <xf numFmtId="2" fontId="0" fillId="0" borderId="0" xfId="0" applyNumberFormat="1"/>
    <xf numFmtId="2" fontId="2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23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2" formatCode="0.00"/>
    </dxf>
    <dxf>
      <numFmt numFmtId="166" formatCode="&quot;$&quot;#,##0.00"/>
    </dxf>
    <dxf>
      <numFmt numFmtId="166" formatCode="&quot;$&quot;#,##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(1).xlsx]Trend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Order Volume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'Trend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'Trend Analysis'!$A$4:$A$37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'Trend Analysis'!$C$4:$C$37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8-473A-8D55-60CA6483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88592"/>
        <c:axId val="1976491952"/>
      </c:lineChart>
      <c:lineChart>
        <c:grouping val="standar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Order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'Trend Analysis'!$A$4:$A$37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'Trend Analysis'!$B$4:$B$37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8-473A-8D55-60CA6483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505392"/>
        <c:axId val="1976500592"/>
      </c:lineChart>
      <c:catAx>
        <c:axId val="197648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91952"/>
        <c:crosses val="autoZero"/>
        <c:auto val="1"/>
        <c:lblAlgn val="ctr"/>
        <c:lblOffset val="100"/>
        <c:noMultiLvlLbl val="0"/>
      </c:catAx>
      <c:valAx>
        <c:axId val="197649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88592"/>
        <c:crosses val="autoZero"/>
        <c:crossBetween val="between"/>
      </c:valAx>
      <c:valAx>
        <c:axId val="1976500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05392"/>
        <c:crosses val="max"/>
        <c:crossBetween val="between"/>
      </c:valAx>
      <c:catAx>
        <c:axId val="1976505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650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Count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'Categorical Analysis'!$B$2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Analysis'!$A$3:$A$9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Laptop</c:v>
                </c:pt>
                <c:pt idx="4">
                  <c:v>Printer</c:v>
                </c:pt>
                <c:pt idx="5">
                  <c:v>Chair</c:v>
                </c:pt>
                <c:pt idx="6">
                  <c:v>Desk</c:v>
                </c:pt>
              </c:strCache>
            </c:strRef>
          </c:cat>
          <c:val>
            <c:numRef>
              <c:f>'Categorical Analysis'!$B$3:$B$9</c:f>
              <c:numCache>
                <c:formatCode>General</c:formatCode>
                <c:ptCount val="7"/>
                <c:pt idx="0">
                  <c:v>163</c:v>
                </c:pt>
                <c:pt idx="1">
                  <c:v>156</c:v>
                </c:pt>
                <c:pt idx="2">
                  <c:v>179</c:v>
                </c:pt>
                <c:pt idx="3">
                  <c:v>173</c:v>
                </c:pt>
                <c:pt idx="4">
                  <c:v>181</c:v>
                </c:pt>
                <c:pt idx="5">
                  <c:v>178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21E-9EED-A818638BE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9392095"/>
        <c:axId val="749392575"/>
      </c:barChart>
      <c:catAx>
        <c:axId val="74939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92575"/>
        <c:crosses val="autoZero"/>
        <c:auto val="1"/>
        <c:lblAlgn val="ctr"/>
        <c:lblOffset val="100"/>
        <c:noMultiLvlLbl val="0"/>
      </c:catAx>
      <c:valAx>
        <c:axId val="749392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939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 Distribution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'Categorical Analysis'!$B$13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Analysis'!$A$14:$A$18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'Categorical Analysis'!$B$14:$B$18</c:f>
              <c:numCache>
                <c:formatCode>General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9-462A-9D9B-5835C93177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9396895"/>
        <c:axId val="749398815"/>
      </c:barChart>
      <c:catAx>
        <c:axId val="749396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98815"/>
        <c:crosses val="autoZero"/>
        <c:auto val="1"/>
        <c:lblAlgn val="ctr"/>
        <c:lblOffset val="100"/>
        <c:noMultiLvlLbl val="0"/>
      </c:catAx>
      <c:valAx>
        <c:axId val="7493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93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Orders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'Categorical Analysis'!$B$31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Analysis'!$A$32:$A$36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Google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'Categorical Analysis'!$B$32:$B$36</c:f>
              <c:numCache>
                <c:formatCode>General</c:formatCode>
                <c:ptCount val="5"/>
                <c:pt idx="0">
                  <c:v>228</c:v>
                </c:pt>
                <c:pt idx="1">
                  <c:v>259</c:v>
                </c:pt>
                <c:pt idx="2">
                  <c:v>241</c:v>
                </c:pt>
                <c:pt idx="3">
                  <c:v>250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5-4946-8C23-8702DDA26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9345055"/>
        <c:axId val="749361855"/>
      </c:barChart>
      <c:catAx>
        <c:axId val="74934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61855"/>
        <c:crosses val="autoZero"/>
        <c:auto val="1"/>
        <c:lblAlgn val="ctr"/>
        <c:lblOffset val="100"/>
        <c:noMultiLvlLbl val="0"/>
      </c:catAx>
      <c:valAx>
        <c:axId val="749361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934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TotalPrice - Outlier View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TotalPrice - Outlier View</a:t>
          </a:r>
        </a:p>
      </cx:txPr>
    </cx:title>
    <cx:plotArea>
      <cx:plotAreaRegion>
        <cx:series layoutId="clusteredColumn" uniqueId="{C23ED255-C011-4263-B6E9-2A05AAF1821E}">
          <cx:tx>
            <cx:txData>
              <cx:f>_xlchart.v1.0</cx:f>
              <cx:v>TotalPrice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1</xdr:row>
      <xdr:rowOff>176212</xdr:rowOff>
    </xdr:from>
    <xdr:to>
      <xdr:col>14</xdr:col>
      <xdr:colOff>361949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1D776-EF09-0F4E-B277-5C885A581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190499</xdr:rowOff>
    </xdr:from>
    <xdr:to>
      <xdr:col>11</xdr:col>
      <xdr:colOff>304800</xdr:colOff>
      <xdr:row>15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2C5BEF-5AA8-497A-9D63-369E0E06A7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190499"/>
              <a:ext cx="5448300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323850</xdr:colOff>
      <xdr:row>3</xdr:row>
      <xdr:rowOff>57151</xdr:rowOff>
    </xdr:from>
    <xdr:to>
      <xdr:col>11</xdr:col>
      <xdr:colOff>180975</xdr:colOff>
      <xdr:row>4</xdr:row>
      <xdr:rowOff>171451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838F5E-980C-E5AE-DC5F-93C14DDC10B5}"/>
            </a:ext>
          </a:extLst>
        </xdr:cNvPr>
        <xdr:cNvSpPr txBox="1"/>
      </xdr:nvSpPr>
      <xdr:spPr>
        <a:xfrm>
          <a:off x="6734175" y="628651"/>
          <a:ext cx="1685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Lower Fence: -$1,341.41</a:t>
          </a:r>
        </a:p>
      </xdr:txBody>
    </xdr:sp>
    <xdr:clientData/>
  </xdr:twoCellAnchor>
  <xdr:twoCellAnchor>
    <xdr:from>
      <xdr:col>8</xdr:col>
      <xdr:colOff>323850</xdr:colOff>
      <xdr:row>5</xdr:row>
      <xdr:rowOff>47625</xdr:rowOff>
    </xdr:from>
    <xdr:to>
      <xdr:col>11</xdr:col>
      <xdr:colOff>180975</xdr:colOff>
      <xdr:row>6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E3DA08-CC6B-432D-B16E-609A5523207B}"/>
            </a:ext>
          </a:extLst>
        </xdr:cNvPr>
        <xdr:cNvSpPr txBox="1"/>
      </xdr:nvSpPr>
      <xdr:spPr>
        <a:xfrm>
          <a:off x="6734175" y="1000125"/>
          <a:ext cx="1685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Upper Fence: $3,330.41</a:t>
          </a:r>
        </a:p>
      </xdr:txBody>
    </xdr:sp>
    <xdr:clientData/>
  </xdr:twoCellAnchor>
  <xdr:twoCellAnchor>
    <xdr:from>
      <xdr:col>0</xdr:col>
      <xdr:colOff>57150</xdr:colOff>
      <xdr:row>43</xdr:row>
      <xdr:rowOff>152400</xdr:rowOff>
    </xdr:from>
    <xdr:to>
      <xdr:col>8</xdr:col>
      <xdr:colOff>571500</xdr:colOff>
      <xdr:row>55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7CA57F-D15C-4E03-83A7-791BDB4FEB3F}"/>
            </a:ext>
          </a:extLst>
        </xdr:cNvPr>
        <xdr:cNvSpPr txBox="1"/>
      </xdr:nvSpPr>
      <xdr:spPr>
        <a:xfrm>
          <a:off x="57150" y="8343900"/>
          <a:ext cx="692467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All 8 outlier orders share an identical pattern: maximum quantity (5 units) of high unit-price products, confirming these are bulk purchases rather than data errors — they are genuine signal, not noise.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outliers span 5 different products, suggesting bulk buying behaviour is not limited to one category.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Most concerning finding: 4 of the 8 outlier orders (50%) resulted in a Return or Cancellation. For the store's highest-value transactions, this is a critical fulfilment risk — losing a $3,300+ order to a return is far more damaging than losing a $400 order.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7 of the 8 outlier orders used a coupon code, suggesting bulk buyers are highly price-sensitive and may only purchase at scale when a discount is available.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Business recommendation: These 8 customers should be flagged for a dedicated retention strategy and the high return/cancellation rate on bulk orders should be investigated urgently.</a:t>
          </a:r>
          <a:endParaRPr lang="en-US" sz="12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104774</xdr:colOff>
      <xdr:row>16</xdr:row>
      <xdr:rowOff>171449</xdr:rowOff>
    </xdr:from>
    <xdr:to>
      <xdr:col>12</xdr:col>
      <xdr:colOff>219075</xdr:colOff>
      <xdr:row>31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6D72B9-0D43-478C-A0B3-D670F954F971}"/>
            </a:ext>
          </a:extLst>
        </xdr:cNvPr>
        <xdr:cNvSpPr txBox="1"/>
      </xdr:nvSpPr>
      <xdr:spPr>
        <a:xfrm>
          <a:off x="104774" y="3219449"/>
          <a:ext cx="8963026" cy="2800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IQR Analysis Results: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middle 50% of all orders fall between $410.52 and $1,578.48, meaning a typical order at this store is somewhere in that range.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IQR of $1,167.96 tells us there is quite a wide spread in order values — customers are buying very different price-point products.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Lower Fence:</a:t>
          </a:r>
          <a:r>
            <a:rPr lang="en-US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lower fence came out as -$1,341.41 which is a negative number — this is mathematically normal and simply means no order can ever be cheap enough to be a low-end outlier. Every order, no matter how small, falls within the acceptable lower range. Zero outliers below the fence.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Upper Fence:</a:t>
          </a:r>
          <a:r>
            <a:rPr lang="en-US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upper fence is $3,330.41 — any order above this amount is flagged as unusually high.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 orders crossed this threshold, meaning 8 customers placed exceptionally large orders compared to the typical buyer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These 8 orders represent only 0.67% of total orders but likely represent a disproportionately high share of revenue — classic high-value customer behaviour.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Business Interpretrations:</a:t>
          </a:r>
          <a:r>
            <a:rPr lang="en-US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8 outliers above the upper fence are signal, not noise — these are likely bulk buyers or premium customers worth identifying and nurturing separately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There are no suspiciously cheap orders, which suggests no data entry errors on the low end and no fraudulent low-value transactions.</a:t>
          </a:r>
          <a:endParaRPr lang="en-US" sz="12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23</xdr:row>
      <xdr:rowOff>133350</xdr:rowOff>
    </xdr:from>
    <xdr:to>
      <xdr:col>8</xdr:col>
      <xdr:colOff>95250</xdr:colOff>
      <xdr:row>30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2F51D8-D776-4F57-A7F1-E4541E4AADEE}"/>
            </a:ext>
          </a:extLst>
        </xdr:cNvPr>
        <xdr:cNvSpPr txBox="1"/>
      </xdr:nvSpPr>
      <xdr:spPr>
        <a:xfrm>
          <a:off x="152400" y="4514850"/>
          <a:ext cx="69246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Dataset contains 1,200 orders across 14 columns.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Date range spans from 1/1/2023 to 6/30/2025.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Only one column has missing data: CouponCode (309 blanks which is 26% of orders).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All other columns are complete with no nulls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 duplicate OrderIDs detected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104775</xdr:rowOff>
    </xdr:from>
    <xdr:to>
      <xdr:col>10</xdr:col>
      <xdr:colOff>47625</xdr:colOff>
      <xdr:row>19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1976CB-57DC-4C72-A6D8-F3D45A699431}"/>
            </a:ext>
          </a:extLst>
        </xdr:cNvPr>
        <xdr:cNvSpPr txBox="1"/>
      </xdr:nvSpPr>
      <xdr:spPr>
        <a:xfrm>
          <a:off x="9525" y="2390775"/>
          <a:ext cx="69246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average order value ($1,054) is higher than the median ($824) — this tells us TotalPrice is right-skewed, meaning a few very high-value orders are pulling the average up.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Average quantity per order is approximately 3 items, with a max of 5.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UnitPrice ranges widely from approximately $11 to approximately $700, showing a very diverse product price range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mean vs median gap on TotalPrice is the most important signal here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52387</xdr:rowOff>
    </xdr:from>
    <xdr:to>
      <xdr:col>11</xdr:col>
      <xdr:colOff>171450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A6FCB-A1CA-2C04-743D-7560A4122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16</xdr:row>
      <xdr:rowOff>71437</xdr:rowOff>
    </xdr:from>
    <xdr:to>
      <xdr:col>11</xdr:col>
      <xdr:colOff>485775</xdr:colOff>
      <xdr:row>30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3966A5-3639-E449-A22E-0FBD57A88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552450</xdr:colOff>
      <xdr:row>25</xdr:row>
      <xdr:rowOff>138112</xdr:rowOff>
    </xdr:from>
    <xdr:to>
      <xdr:col>11</xdr:col>
      <xdr:colOff>247650</xdr:colOff>
      <xdr:row>40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CB0FB-2E17-0180-082D-B2B68BF66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409574</xdr:colOff>
      <xdr:row>45</xdr:row>
      <xdr:rowOff>38100</xdr:rowOff>
    </xdr:from>
    <xdr:to>
      <xdr:col>10</xdr:col>
      <xdr:colOff>104774</xdr:colOff>
      <xdr:row>60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024579-8B18-421C-F815-C09E4197BE48}"/>
            </a:ext>
          </a:extLst>
        </xdr:cNvPr>
        <xdr:cNvSpPr txBox="1"/>
      </xdr:nvSpPr>
      <xdr:spPr>
        <a:xfrm>
          <a:off x="409574" y="8610600"/>
          <a:ext cx="69246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 Distribution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Printer has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higher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order volume at 181 orders (15.1%), while Phone has the lowest share at 156 orders (13.0%). However, the spread across all 7 products is relatively narrow (only ~2% difference between highest and lowest), suggesting fairly balanced demand across the product catalogue — no single product dominates.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Order Status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r>
            <a:rPr lang="en-US" sz="12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Returned orders are the most frequent status at 250 orders (20.8%), which is a red flag for the business. Combined with Cancelled orders, a significant portion of orders never result in successful delivery. Only 19.3% of orders were Delivered — the lowest of all statuses. This suggests a potential fulfilment or customer satisfaction problem worth investigating further.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Payment Method:</a:t>
          </a:r>
          <a:r>
            <a:rPr lang="en-US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Online payment leads at 268 orders (21.5%) while Gift Card is lowest at 230 (19.2%). Similar to products, the distribution is fairly even across all 5 methods, suggesting customers have no strong single payment preference.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Referral Source:</a:t>
          </a:r>
          <a:r>
            <a:rPr lang="en-US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Instagram drives the most customers at 259 orders (21.6%), making it the strongest acquisition channel. Word-of-mouth Referral is the weakest at 222 orders (18.5%). The business should consider investing more in Instagram to capitalise on its lead.</a:t>
          </a:r>
          <a:r>
            <a:rPr lang="en-US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5.446678356479" createdVersion="8" refreshedVersion="8" minRefreshableVersion="3" recordCount="1200" xr:uid="{F1D6C86E-D475-4DF2-88E8-8A0B93D00F2C}">
  <cacheSource type="worksheet">
    <worksheetSource ref="A1:N1201" sheet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x v="1"/>
    <x v="1"/>
    <s v="C75739"/>
    <s v="Phone"/>
    <n v="2"/>
    <n v="151.35"/>
    <s v="823 Main St"/>
    <s v="Online"/>
    <s v="Shipped"/>
    <s v="TRK91186779"/>
    <n v="3"/>
    <s v="SAVE10"/>
    <s v="Referral"/>
    <n v="302.7"/>
  </r>
  <r>
    <x v="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x v="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x v="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x v="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x v="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x v="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x v="8"/>
    <x v="8"/>
    <s v="C26817"/>
    <s v="Phone"/>
    <n v="2"/>
    <n v="134.28"/>
    <s v="904 Main St"/>
    <s v="Gift Card"/>
    <s v="Cancelled"/>
    <s v="TRK61042692"/>
    <n v="2"/>
    <m/>
    <s v="Email"/>
    <n v="268.56"/>
  </r>
  <r>
    <x v="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x v="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x v="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x v="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x v="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x v="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x v="15"/>
    <x v="15"/>
    <s v="C39416"/>
    <s v="Printer"/>
    <n v="1"/>
    <n v="473.96"/>
    <s v="942 Main St"/>
    <s v="Cash"/>
    <s v="Delivered"/>
    <s v="TRK54930938"/>
    <n v="3"/>
    <m/>
    <s v="Google"/>
    <n v="473.96"/>
  </r>
  <r>
    <x v="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x v="17"/>
    <x v="17"/>
    <s v="C60672"/>
    <s v="Tablet"/>
    <n v="1"/>
    <n v="423.4"/>
    <s v="382 Main St"/>
    <s v="Debit Card"/>
    <s v="Shipped"/>
    <s v="TRK11972116"/>
    <n v="3"/>
    <m/>
    <s v="Referral"/>
    <n v="423.4"/>
  </r>
  <r>
    <x v="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x v="19"/>
    <x v="19"/>
    <s v="C14552"/>
    <s v="Monitor"/>
    <n v="5"/>
    <n v="224"/>
    <s v="273 Main St"/>
    <s v="Cash"/>
    <s v="Returned"/>
    <s v="TRK59101365"/>
    <n v="9"/>
    <s v="SAVE10"/>
    <s v="Google"/>
    <n v="1120"/>
  </r>
  <r>
    <x v="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x v="21"/>
    <x v="21"/>
    <s v="C99023"/>
    <s v="Monitor"/>
    <n v="4"/>
    <n v="342.95"/>
    <s v="569 Main St"/>
    <s v="Cash"/>
    <s v="Delivered"/>
    <s v="TRK52646983"/>
    <n v="6"/>
    <m/>
    <s v="Google"/>
    <n v="1371.8"/>
  </r>
  <r>
    <x v="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x v="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x v="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x v="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x v="26"/>
    <x v="26"/>
    <s v="C21944"/>
    <s v="Laptop"/>
    <n v="5"/>
    <n v="59.55"/>
    <s v="296 Main St"/>
    <s v="Online"/>
    <s v="Delivered"/>
    <s v="TRK80276812"/>
    <n v="6"/>
    <m/>
    <s v="Referral"/>
    <n v="297.75"/>
  </r>
  <r>
    <x v="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x v="28"/>
    <x v="9"/>
    <s v="C59823"/>
    <s v="Phone"/>
    <n v="4"/>
    <n v="160.07"/>
    <s v="568 Main St"/>
    <s v="Online"/>
    <s v="Pending"/>
    <s v="TRK65895539"/>
    <n v="5"/>
    <m/>
    <s v="Email"/>
    <n v="640.28"/>
  </r>
  <r>
    <x v="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x v="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x v="31"/>
    <x v="30"/>
    <s v="C26445"/>
    <s v="Chair"/>
    <n v="3"/>
    <n v="500.08"/>
    <s v="996 Main St"/>
    <s v="Debit Card"/>
    <s v="Returned"/>
    <s v="TRK31229981"/>
    <n v="6"/>
    <m/>
    <s v="Facebook"/>
    <n v="1500.24"/>
  </r>
  <r>
    <x v="32"/>
    <x v="31"/>
    <s v="C12388"/>
    <s v="Tablet"/>
    <n v="5"/>
    <n v="536.72"/>
    <s v="830 Main St"/>
    <s v="Cash"/>
    <s v="Delivered"/>
    <s v="TRK99261395"/>
    <n v="10"/>
    <m/>
    <s v="Email"/>
    <n v="2683.6"/>
  </r>
  <r>
    <x v="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x v="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x v="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x v="36"/>
    <x v="4"/>
    <s v="C59337"/>
    <s v="Laptop"/>
    <n v="2"/>
    <n v="534.42999999999995"/>
    <s v="465 Main St"/>
    <s v="Debit Card"/>
    <s v="Pending"/>
    <s v="TRK50961250"/>
    <n v="5"/>
    <m/>
    <s v="Facebook"/>
    <n v="1068.8599999999999"/>
  </r>
  <r>
    <x v="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x v="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x v="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x v="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x v="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x v="42"/>
    <x v="40"/>
    <s v="C28712"/>
    <s v="Printer"/>
    <n v="2"/>
    <n v="151.66"/>
    <s v="980 Main St"/>
    <s v="Cash"/>
    <s v="Cancelled"/>
    <s v="TRK40772558"/>
    <n v="6"/>
    <m/>
    <s v="Instagram"/>
    <n v="303.32"/>
  </r>
  <r>
    <x v="43"/>
    <x v="41"/>
    <s v="C60572"/>
    <s v="Chair"/>
    <n v="3"/>
    <n v="499.21"/>
    <s v="871 Main St"/>
    <s v="Online"/>
    <s v="Cancelled"/>
    <s v="TRK20351666"/>
    <n v="8"/>
    <m/>
    <s v="Instagram"/>
    <n v="1497.63"/>
  </r>
  <r>
    <x v="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x v="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x v="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x v="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x v="48"/>
    <x v="46"/>
    <s v="C12408"/>
    <s v="Monitor"/>
    <n v="2"/>
    <n v="80.77"/>
    <s v="464 Main St"/>
    <s v="Debit Card"/>
    <s v="Shipped"/>
    <s v="TRK38938858"/>
    <n v="4"/>
    <m/>
    <s v="Google"/>
    <n v="161.54"/>
  </r>
  <r>
    <x v="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x v="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x v="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x v="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x v="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x v="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x v="55"/>
    <x v="53"/>
    <s v="C95984"/>
    <s v="Printer"/>
    <n v="3"/>
    <n v="344.4"/>
    <s v="565 Main St"/>
    <s v="Online"/>
    <s v="Cancelled"/>
    <s v="TRK67434829"/>
    <n v="3"/>
    <m/>
    <s v="Facebook"/>
    <n v="1033.2"/>
  </r>
  <r>
    <x v="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x v="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x v="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x v="59"/>
    <x v="57"/>
    <s v="C97603"/>
    <s v="Chair"/>
    <n v="4"/>
    <n v="593.27"/>
    <s v="811 Main St"/>
    <s v="Online"/>
    <s v="Shipped"/>
    <s v="TRK47055028"/>
    <n v="5"/>
    <m/>
    <s v="Facebook"/>
    <n v="2373.08"/>
  </r>
  <r>
    <x v="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x v="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x v="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x v="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x v="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x v="65"/>
    <x v="63"/>
    <s v="C97735"/>
    <s v="Monitor"/>
    <n v="5"/>
    <n v="81.7"/>
    <s v="385 Main St"/>
    <s v="Credit Card"/>
    <s v="Delivered"/>
    <s v="TRK13743703"/>
    <n v="6"/>
    <m/>
    <s v="Instagram"/>
    <n v="408.5"/>
  </r>
  <r>
    <x v="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x v="67"/>
    <x v="65"/>
    <s v="C25587"/>
    <s v="Printer"/>
    <n v="4"/>
    <n v="12.1"/>
    <s v="440 Main St"/>
    <s v="Debit Card"/>
    <s v="Cancelled"/>
    <s v="TRK55105323"/>
    <n v="8"/>
    <m/>
    <s v="Google"/>
    <n v="48.4"/>
  </r>
  <r>
    <x v="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x v="69"/>
    <x v="67"/>
    <s v="C43338"/>
    <s v="Monitor"/>
    <n v="3"/>
    <n v="478.65"/>
    <s v="552 Main St"/>
    <s v="Online"/>
    <s v="Shipped"/>
    <s v="TRK35241775"/>
    <n v="4"/>
    <m/>
    <s v="Referral"/>
    <n v="1435.95"/>
  </r>
  <r>
    <x v="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x v="71"/>
    <x v="69"/>
    <s v="C37454"/>
    <s v="Monitor"/>
    <n v="3"/>
    <n v="434.45"/>
    <s v="923 Main St"/>
    <s v="Credit Card"/>
    <s v="Pending"/>
    <s v="TRK28252730"/>
    <n v="4"/>
    <m/>
    <s v="Referral"/>
    <n v="1303.3499999999999"/>
  </r>
  <r>
    <x v="72"/>
    <x v="70"/>
    <s v="C19451"/>
    <s v="Tablet"/>
    <n v="4"/>
    <n v="589.44000000000005"/>
    <s v="942 Main St"/>
    <s v="Gift Card"/>
    <s v="Returned"/>
    <s v="TRK87787793"/>
    <n v="5"/>
    <m/>
    <s v="Facebook"/>
    <n v="2357.7600000000002"/>
  </r>
  <r>
    <x v="73"/>
    <x v="71"/>
    <s v="C17269"/>
    <s v="Monitor"/>
    <n v="4"/>
    <n v="433.45"/>
    <s v="129 Main St"/>
    <s v="Gift Card"/>
    <s v="Cancelled"/>
    <s v="TRK79608389"/>
    <n v="4"/>
    <m/>
    <s v="Facebook"/>
    <n v="1733.8"/>
  </r>
  <r>
    <x v="74"/>
    <x v="72"/>
    <s v="C25382"/>
    <s v="Phone"/>
    <n v="5"/>
    <n v="90.87"/>
    <s v="622 Main St"/>
    <s v="Cash"/>
    <s v="Pending"/>
    <s v="TRK64691287"/>
    <n v="5"/>
    <m/>
    <s v="Instagram"/>
    <n v="454.35"/>
  </r>
  <r>
    <x v="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x v="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x v="77"/>
    <x v="75"/>
    <s v="C50121"/>
    <s v="Phone"/>
    <n v="1"/>
    <n v="583.17999999999995"/>
    <s v="348 Main St"/>
    <s v="Credit Card"/>
    <s v="Returned"/>
    <s v="TRK79810059"/>
    <n v="5"/>
    <m/>
    <s v="Google"/>
    <n v="583.17999999999995"/>
  </r>
  <r>
    <x v="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x v="79"/>
    <x v="77"/>
    <s v="C76700"/>
    <s v="Tablet"/>
    <n v="2"/>
    <n v="311.91000000000003"/>
    <s v="103 Main St"/>
    <s v="Online"/>
    <s v="Shipped"/>
    <s v="TRK13036341"/>
    <n v="2"/>
    <m/>
    <s v="Facebook"/>
    <n v="623.82000000000005"/>
  </r>
  <r>
    <x v="80"/>
    <x v="78"/>
    <s v="C29041"/>
    <s v="Phone"/>
    <n v="3"/>
    <n v="589.55999999999995"/>
    <s v="591 Main St"/>
    <s v="Online"/>
    <s v="Returned"/>
    <s v="TRK28840655"/>
    <n v="6"/>
    <m/>
    <s v="Facebook"/>
    <n v="1768.68"/>
  </r>
  <r>
    <x v="81"/>
    <x v="79"/>
    <s v="C29314"/>
    <s v="Monitor"/>
    <n v="2"/>
    <n v="394.3"/>
    <s v="496 Main St"/>
    <s v="Cash"/>
    <s v="Shipped"/>
    <s v="TRK59876213"/>
    <n v="6"/>
    <s v="FREESHIP"/>
    <s v="Email"/>
    <n v="788.6"/>
  </r>
  <r>
    <x v="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x v="83"/>
    <x v="60"/>
    <s v="C15681"/>
    <s v="Laptop"/>
    <n v="4"/>
    <n v="540.41"/>
    <s v="989 Main St"/>
    <s v="Credit Card"/>
    <s v="Cancelled"/>
    <s v="TRK75112172"/>
    <n v="6"/>
    <m/>
    <s v="Referral"/>
    <n v="2161.64"/>
  </r>
  <r>
    <x v="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x v="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x v="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x v="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x v="88"/>
    <x v="85"/>
    <s v="C75439"/>
    <s v="Desk"/>
    <n v="3"/>
    <n v="114.81"/>
    <s v="318 Main St"/>
    <s v="Gift Card"/>
    <s v="Cancelled"/>
    <s v="TRK19831653"/>
    <n v="7"/>
    <m/>
    <s v="Google"/>
    <n v="344.43"/>
  </r>
  <r>
    <x v="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x v="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x v="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x v="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x v="93"/>
    <x v="90"/>
    <s v="C97262"/>
    <s v="Desk"/>
    <n v="4"/>
    <n v="431.01"/>
    <s v="837 Main St"/>
    <s v="Credit Card"/>
    <s v="Returned"/>
    <s v="TRK65990229"/>
    <n v="7"/>
    <m/>
    <s v="Referral"/>
    <n v="1724.04"/>
  </r>
  <r>
    <x v="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x v="95"/>
    <x v="92"/>
    <s v="C76761"/>
    <s v="Printer"/>
    <n v="4"/>
    <n v="117.51"/>
    <s v="839 Main St"/>
    <s v="Debit Card"/>
    <s v="Returned"/>
    <s v="TRK60179774"/>
    <n v="7"/>
    <m/>
    <s v="Referral"/>
    <n v="470.04"/>
  </r>
  <r>
    <x v="96"/>
    <x v="93"/>
    <s v="C93007"/>
    <s v="Phone"/>
    <n v="2"/>
    <n v="232.83"/>
    <s v="103 Main St"/>
    <s v="Gift Card"/>
    <s v="Delivered"/>
    <s v="TRK85696091"/>
    <n v="7"/>
    <m/>
    <s v="Instagram"/>
    <n v="465.66"/>
  </r>
  <r>
    <x v="97"/>
    <x v="94"/>
    <s v="C15624"/>
    <s v="Tablet"/>
    <n v="5"/>
    <n v="619.52"/>
    <s v="922 Main St"/>
    <s v="Debit Card"/>
    <s v="Pending"/>
    <s v="TRK40621141"/>
    <n v="9"/>
    <m/>
    <s v="Email"/>
    <n v="3097.6"/>
  </r>
  <r>
    <x v="98"/>
    <x v="90"/>
    <s v="C70921"/>
    <s v="Printer"/>
    <n v="2"/>
    <n v="228.54"/>
    <s v="533 Main St"/>
    <s v="Debit Card"/>
    <s v="Pending"/>
    <s v="TRK54983109"/>
    <n v="3"/>
    <m/>
    <s v="Email"/>
    <n v="457.08"/>
  </r>
  <r>
    <x v="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x v="100"/>
    <x v="96"/>
    <s v="C74866"/>
    <s v="Phone"/>
    <n v="3"/>
    <n v="664.79"/>
    <s v="743 Main St"/>
    <s v="Online"/>
    <s v="Delivered"/>
    <s v="TRK53783265"/>
    <n v="6"/>
    <m/>
    <s v="Facebook"/>
    <n v="1994.37"/>
  </r>
  <r>
    <x v="101"/>
    <x v="97"/>
    <s v="C15283"/>
    <s v="Printer"/>
    <n v="1"/>
    <n v="381.02"/>
    <s v="152 Main St"/>
    <s v="Cash"/>
    <s v="Shipped"/>
    <s v="TRK19286291"/>
    <n v="6"/>
    <m/>
    <s v="Google"/>
    <n v="381.02"/>
  </r>
  <r>
    <x v="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x v="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x v="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x v="105"/>
    <x v="101"/>
    <s v="C72290"/>
    <s v="Printer"/>
    <n v="3"/>
    <n v="185.4"/>
    <s v="810 Main St"/>
    <s v="Gift Card"/>
    <s v="Cancelled"/>
    <s v="TRK68792129"/>
    <n v="7"/>
    <m/>
    <s v="Facebook"/>
    <n v="556.20000000000005"/>
  </r>
  <r>
    <x v="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x v="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x v="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x v="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x v="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x v="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x v="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x v="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x v="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x v="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x v="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x v="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x v="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x v="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x v="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x v="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x v="122"/>
    <x v="116"/>
    <s v="C96787"/>
    <s v="Laptop"/>
    <n v="2"/>
    <n v="533.02"/>
    <s v="588 Main St"/>
    <s v="Gift Card"/>
    <s v="Shipped"/>
    <s v="TRK30422853"/>
    <n v="2"/>
    <m/>
    <s v="Facebook"/>
    <n v="1066.04"/>
  </r>
  <r>
    <x v="123"/>
    <x v="117"/>
    <s v="C86064"/>
    <s v="Desk"/>
    <n v="3"/>
    <n v="278.04000000000002"/>
    <s v="727 Main St"/>
    <s v="Online"/>
    <s v="Delivered"/>
    <s v="TRK62182901"/>
    <n v="5"/>
    <m/>
    <s v="Instagram"/>
    <n v="834.12000000000012"/>
  </r>
  <r>
    <x v="124"/>
    <x v="118"/>
    <s v="C97148"/>
    <s v="Printer"/>
    <n v="4"/>
    <n v="283.79000000000002"/>
    <s v="563 Main St"/>
    <s v="Online"/>
    <s v="Pending"/>
    <s v="TRK85321126"/>
    <n v="8"/>
    <m/>
    <s v="Google"/>
    <n v="1135.1600000000001"/>
  </r>
  <r>
    <x v="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x v="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x v="127"/>
    <x v="121"/>
    <s v="C71486"/>
    <s v="Desk"/>
    <n v="3"/>
    <n v="469.32"/>
    <s v="365 Main St"/>
    <s v="Debit Card"/>
    <s v="Shipped"/>
    <s v="TRK73929833"/>
    <n v="3"/>
    <m/>
    <s v="Google"/>
    <n v="1407.96"/>
  </r>
  <r>
    <x v="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x v="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x v="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x v="131"/>
    <x v="124"/>
    <s v="C72862"/>
    <s v="Tablet"/>
    <n v="1"/>
    <n v="84.8"/>
    <s v="606 Main St"/>
    <s v="Gift Card"/>
    <s v="Pending"/>
    <s v="TRK51648833"/>
    <n v="5"/>
    <m/>
    <s v="Instagram"/>
    <n v="84.8"/>
  </r>
  <r>
    <x v="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x v="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x v="134"/>
    <x v="127"/>
    <s v="C16253"/>
    <s v="Laptop"/>
    <n v="2"/>
    <n v="199.7"/>
    <s v="583 Main St"/>
    <s v="Cash"/>
    <s v="Pending"/>
    <s v="TRK17354894"/>
    <n v="4"/>
    <m/>
    <s v="Email"/>
    <n v="399.4"/>
  </r>
  <r>
    <x v="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x v="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x v="137"/>
    <x v="130"/>
    <s v="C50682"/>
    <s v="Monitor"/>
    <n v="2"/>
    <n v="250.98"/>
    <s v="598 Main St"/>
    <s v="Credit Card"/>
    <s v="Delivered"/>
    <s v="TRK12242337"/>
    <n v="5"/>
    <m/>
    <s v="Google"/>
    <n v="501.96"/>
  </r>
  <r>
    <x v="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x v="139"/>
    <x v="132"/>
    <s v="C61440"/>
    <s v="Phone"/>
    <n v="1"/>
    <n v="583.9"/>
    <s v="714 Main St"/>
    <s v="Cash"/>
    <s v="Returned"/>
    <s v="TRK33114521"/>
    <n v="1"/>
    <m/>
    <s v="Email"/>
    <n v="583.9"/>
  </r>
  <r>
    <x v="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x v="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x v="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x v="143"/>
    <x v="136"/>
    <s v="C66521"/>
    <s v="Chair"/>
    <n v="4"/>
    <n v="400.07"/>
    <s v="933 Main St"/>
    <s v="Online"/>
    <s v="Shipped"/>
    <s v="TRK34654244"/>
    <n v="5"/>
    <m/>
    <s v="Referral"/>
    <n v="1600.28"/>
  </r>
  <r>
    <x v="144"/>
    <x v="128"/>
    <s v="C63365"/>
    <s v="Desk"/>
    <n v="5"/>
    <n v="219.78"/>
    <s v="895 Main St"/>
    <s v="Credit Card"/>
    <s v="Pending"/>
    <s v="TRK80100887"/>
    <n v="8"/>
    <m/>
    <s v="Facebook"/>
    <n v="1098.9000000000001"/>
  </r>
  <r>
    <x v="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x v="146"/>
    <x v="137"/>
    <s v="C84645"/>
    <s v="Tablet"/>
    <n v="2"/>
    <n v="411.49"/>
    <s v="404 Main St"/>
    <s v="Credit Card"/>
    <s v="Returned"/>
    <s v="TRK68893369"/>
    <n v="4"/>
    <m/>
    <s v="Instagram"/>
    <n v="822.98"/>
  </r>
  <r>
    <x v="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x v="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x v="149"/>
    <x v="140"/>
    <s v="C39671"/>
    <s v="Laptop"/>
    <n v="1"/>
    <n v="217.56"/>
    <s v="174 Main St"/>
    <s v="Debit Card"/>
    <s v="Delivered"/>
    <s v="TRK47153818"/>
    <n v="3"/>
    <m/>
    <s v="Facebook"/>
    <n v="217.56"/>
  </r>
  <r>
    <x v="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x v="151"/>
    <x v="142"/>
    <s v="C32960"/>
    <s v="Printer"/>
    <n v="5"/>
    <n v="444.76"/>
    <s v="947 Main St"/>
    <s v="Debit Card"/>
    <s v="Returned"/>
    <s v="TRK91226500"/>
    <n v="7"/>
    <m/>
    <s v="Email"/>
    <n v="2223.8000000000002"/>
  </r>
  <r>
    <x v="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x v="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x v="154"/>
    <x v="145"/>
    <s v="C73587"/>
    <s v="Phone"/>
    <n v="4"/>
    <n v="408.21"/>
    <s v="727 Main St"/>
    <s v="Credit Card"/>
    <s v="Pending"/>
    <s v="TRK13955543"/>
    <n v="9"/>
    <m/>
    <s v="Instagram"/>
    <n v="1632.84"/>
  </r>
  <r>
    <x v="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x v="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x v="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x v="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x v="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x v="160"/>
    <x v="96"/>
    <s v="C38669"/>
    <s v="Monitor"/>
    <n v="4"/>
    <n v="101.32"/>
    <s v="240 Main St"/>
    <s v="Cash"/>
    <s v="Pending"/>
    <s v="TRK81738254"/>
    <n v="7"/>
    <m/>
    <s v="Referral"/>
    <n v="405.28"/>
  </r>
  <r>
    <x v="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x v="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x v="163"/>
    <x v="53"/>
    <s v="C99589"/>
    <s v="Tablet"/>
    <n v="1"/>
    <n v="641.39"/>
    <s v="277 Main St"/>
    <s v="Online"/>
    <s v="Cancelled"/>
    <s v="TRK16695001"/>
    <n v="1"/>
    <m/>
    <s v="Referral"/>
    <n v="641.39"/>
  </r>
  <r>
    <x v="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x v="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x v="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x v="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x v="168"/>
    <x v="157"/>
    <s v="C49517"/>
    <s v="Printer"/>
    <n v="1"/>
    <n v="594.96"/>
    <s v="878 Main St"/>
    <s v="Cash"/>
    <s v="Returned"/>
    <s v="TRK78551375"/>
    <n v="6"/>
    <m/>
    <s v="Facebook"/>
    <n v="594.96"/>
  </r>
  <r>
    <x v="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x v="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x v="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x v="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x v="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x v="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x v="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x v="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x v="177"/>
    <x v="165"/>
    <s v="C55632"/>
    <s v="Chair"/>
    <n v="5"/>
    <n v="431.69"/>
    <s v="354 Main St"/>
    <s v="Credit Card"/>
    <s v="Pending"/>
    <s v="TRK13003066"/>
    <n v="10"/>
    <m/>
    <s v="Facebook"/>
    <n v="2158.4499999999998"/>
  </r>
  <r>
    <x v="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x v="179"/>
    <x v="167"/>
    <s v="C27401"/>
    <s v="Laptop"/>
    <n v="3"/>
    <n v="539.91"/>
    <s v="500 Main St"/>
    <s v="Credit Card"/>
    <s v="Delivered"/>
    <s v="TRK14332053"/>
    <n v="8"/>
    <m/>
    <s v="Email"/>
    <n v="1619.73"/>
  </r>
  <r>
    <x v="180"/>
    <x v="168"/>
    <s v="C87216"/>
    <s v="Tablet"/>
    <n v="5"/>
    <n v="316.07"/>
    <s v="970 Main St"/>
    <s v="Cash"/>
    <s v="Returned"/>
    <s v="TRK18713727"/>
    <n v="10"/>
    <m/>
    <s v="Google"/>
    <n v="1580.35"/>
  </r>
  <r>
    <x v="181"/>
    <x v="169"/>
    <s v="C38966"/>
    <s v="Printer"/>
    <n v="5"/>
    <n v="404.39"/>
    <s v="247 Main St"/>
    <s v="Online"/>
    <s v="Shipped"/>
    <s v="TRK17205146"/>
    <n v="10"/>
    <m/>
    <s v="Referral"/>
    <n v="2021.95"/>
  </r>
  <r>
    <x v="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x v="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x v="184"/>
    <x v="172"/>
    <s v="C65180"/>
    <s v="Tablet"/>
    <n v="4"/>
    <n v="214.54"/>
    <s v="231 Main St"/>
    <s v="Gift Card"/>
    <s v="Cancelled"/>
    <s v="TRK39255469"/>
    <n v="7"/>
    <m/>
    <s v="Referral"/>
    <n v="858.16"/>
  </r>
  <r>
    <x v="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x v="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x v="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x v="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x v="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x v="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x v="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x v="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x v="193"/>
    <x v="179"/>
    <s v="C11644"/>
    <s v="Printer"/>
    <n v="1"/>
    <n v="46.66"/>
    <s v="429 Main St"/>
    <s v="Cash"/>
    <s v="Cancelled"/>
    <s v="TRK81320339"/>
    <n v="6"/>
    <m/>
    <s v="Google"/>
    <n v="46.66"/>
  </r>
  <r>
    <x v="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x v="195"/>
    <x v="181"/>
    <s v="C63619"/>
    <s v="Chair"/>
    <n v="3"/>
    <n v="619.21"/>
    <s v="801 Main St"/>
    <s v="Debit Card"/>
    <s v="Cancelled"/>
    <s v="TRK65385674"/>
    <n v="6"/>
    <m/>
    <s v="Email"/>
    <n v="1857.63"/>
  </r>
  <r>
    <x v="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x v="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x v="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x v="199"/>
    <x v="185"/>
    <s v="C87524"/>
    <s v="Phone"/>
    <n v="1"/>
    <n v="625"/>
    <s v="358 Main St"/>
    <s v="Online"/>
    <s v="Returned"/>
    <s v="TRK21114341"/>
    <n v="5"/>
    <s v="WINTER15"/>
    <s v="Google"/>
    <n v="625"/>
  </r>
  <r>
    <x v="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x v="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x v="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x v="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x v="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x v="205"/>
    <x v="190"/>
    <s v="C19266"/>
    <s v="Desk"/>
    <n v="3"/>
    <n v="147.38999999999999"/>
    <s v="609 Main St"/>
    <s v="Debit Card"/>
    <s v="Returned"/>
    <s v="TRK58357269"/>
    <n v="3"/>
    <m/>
    <s v="Email"/>
    <n v="442.17"/>
  </r>
  <r>
    <x v="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x v="207"/>
    <x v="191"/>
    <s v="C54595"/>
    <s v="Phone"/>
    <n v="1"/>
    <n v="121.96"/>
    <s v="999 Main St"/>
    <s v="Debit Card"/>
    <s v="Delivered"/>
    <s v="TRK44416659"/>
    <n v="3"/>
    <m/>
    <s v="Google"/>
    <n v="121.96"/>
  </r>
  <r>
    <x v="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x v="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x v="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x v="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x v="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x v="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x v="214"/>
    <x v="58"/>
    <s v="C29483"/>
    <s v="Desk"/>
    <n v="4"/>
    <n v="305.72000000000003"/>
    <s v="673 Main St"/>
    <s v="Online"/>
    <s v="Delivered"/>
    <s v="TRK89423603"/>
    <n v="5"/>
    <m/>
    <s v="Facebook"/>
    <n v="1222.8800000000001"/>
  </r>
  <r>
    <x v="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x v="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x v="217"/>
    <x v="199"/>
    <s v="C61549"/>
    <s v="Desk"/>
    <n v="4"/>
    <n v="321.51"/>
    <s v="908 Main St"/>
    <s v="Cash"/>
    <s v="Returned"/>
    <s v="TRK65596914"/>
    <n v="9"/>
    <m/>
    <s v="Google"/>
    <n v="1286.04"/>
  </r>
  <r>
    <x v="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x v="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x v="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x v="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x v="222"/>
    <x v="204"/>
    <s v="C43124"/>
    <s v="Chair"/>
    <n v="4"/>
    <n v="693.36"/>
    <s v="931 Main St"/>
    <s v="Online"/>
    <s v="Shipped"/>
    <s v="TRK17293348"/>
    <n v="8"/>
    <m/>
    <s v="Instagram"/>
    <n v="2773.44"/>
  </r>
  <r>
    <x v="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x v="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x v="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x v="226"/>
    <x v="207"/>
    <s v="C31501"/>
    <s v="Desk"/>
    <n v="3"/>
    <n v="588.04999999999995"/>
    <s v="242 Main St"/>
    <s v="Gift Card"/>
    <s v="Delivered"/>
    <s v="TRK93063929"/>
    <n v="8"/>
    <m/>
    <s v="Instagram"/>
    <n v="1764.15"/>
  </r>
  <r>
    <x v="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x v="228"/>
    <x v="209"/>
    <s v="C57867"/>
    <s v="Chair"/>
    <n v="4"/>
    <n v="385.92"/>
    <s v="579 Main St"/>
    <s v="Credit Card"/>
    <s v="Cancelled"/>
    <s v="TRK92055007"/>
    <n v="8"/>
    <m/>
    <s v="Instagram"/>
    <n v="1543.68"/>
  </r>
  <r>
    <x v="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x v="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x v="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x v="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x v="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x v="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x v="235"/>
    <x v="215"/>
    <s v="C32854"/>
    <s v="Desk"/>
    <n v="1"/>
    <n v="65.45"/>
    <s v="815 Main St"/>
    <s v="Cash"/>
    <s v="Pending"/>
    <s v="TRK30009218"/>
    <n v="2"/>
    <s v="WINTER15"/>
    <s v="Google"/>
    <n v="65.45"/>
  </r>
  <r>
    <x v="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x v="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x v="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x v="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x v="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x v="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x v="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x v="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x v="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x v="245"/>
    <x v="224"/>
    <s v="C12667"/>
    <s v="Laptop"/>
    <n v="1"/>
    <n v="223.3"/>
    <s v="306 Main St"/>
    <s v="Online"/>
    <s v="Returned"/>
    <s v="TRK25390491"/>
    <n v="1"/>
    <m/>
    <s v="Facebook"/>
    <n v="223.3"/>
  </r>
  <r>
    <x v="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x v="247"/>
    <x v="145"/>
    <s v="C14600"/>
    <s v="Printer"/>
    <n v="2"/>
    <n v="220.9"/>
    <s v="785 Main St"/>
    <s v="Gift Card"/>
    <s v="Shipped"/>
    <s v="TRK84984764"/>
    <n v="4"/>
    <m/>
    <s v="Email"/>
    <n v="441.8"/>
  </r>
  <r>
    <x v="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x v="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x v="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x v="251"/>
    <x v="229"/>
    <s v="C93175"/>
    <s v="Monitor"/>
    <n v="4"/>
    <n v="14.69"/>
    <s v="814 Main St"/>
    <s v="Cash"/>
    <s v="Cancelled"/>
    <s v="TRK32995144"/>
    <n v="9"/>
    <m/>
    <s v="Email"/>
    <n v="58.76"/>
  </r>
  <r>
    <x v="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x v="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x v="254"/>
    <x v="231"/>
    <s v="C10866"/>
    <s v="Monitor"/>
    <n v="3"/>
    <n v="263.19"/>
    <s v="770 Main St"/>
    <s v="Online"/>
    <s v="Delivered"/>
    <s v="TRK34809583"/>
    <n v="5"/>
    <m/>
    <s v="Instagram"/>
    <n v="789.56999999999994"/>
  </r>
  <r>
    <x v="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x v="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x v="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x v="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x v="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x v="260"/>
    <x v="209"/>
    <s v="C12245"/>
    <s v="Monitor"/>
    <n v="2"/>
    <n v="407.79"/>
    <s v="153 Main St"/>
    <s v="Debit Card"/>
    <s v="Shipped"/>
    <s v="TRK22000463"/>
    <n v="3"/>
    <m/>
    <s v="Google"/>
    <n v="815.58"/>
  </r>
  <r>
    <x v="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x v="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x v="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x v="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x v="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x v="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x v="267"/>
    <x v="242"/>
    <s v="C84480"/>
    <s v="Chair"/>
    <n v="5"/>
    <n v="468.51"/>
    <s v="803 Main St"/>
    <s v="Debit Card"/>
    <s v="Delivered"/>
    <s v="TRK62361867"/>
    <n v="9"/>
    <m/>
    <s v="Facebook"/>
    <n v="2342.5500000000002"/>
  </r>
  <r>
    <x v="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x v="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x v="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x v="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x v="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x v="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x v="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x v="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x v="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x v="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x v="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x v="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x v="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x v="281"/>
    <x v="152"/>
    <s v="C87181"/>
    <s v="Desk"/>
    <n v="4"/>
    <n v="654.79"/>
    <s v="195 Main St"/>
    <s v="Cash"/>
    <s v="Pending"/>
    <s v="TRK60093390"/>
    <n v="9"/>
    <m/>
    <s v="Referral"/>
    <n v="2619.16"/>
  </r>
  <r>
    <x v="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x v="283"/>
    <x v="252"/>
    <s v="C39638"/>
    <s v="Laptop"/>
    <n v="4"/>
    <n v="540.33000000000004"/>
    <s v="990 Main St"/>
    <s v="Cash"/>
    <s v="Shipped"/>
    <s v="TRK69745608"/>
    <n v="6"/>
    <m/>
    <s v="Google"/>
    <n v="2161.3200000000002"/>
  </r>
  <r>
    <x v="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x v="285"/>
    <x v="69"/>
    <s v="C67583"/>
    <s v="Phone"/>
    <n v="1"/>
    <n v="338.31"/>
    <s v="974 Main St"/>
    <s v="Online"/>
    <s v="Delivered"/>
    <s v="TRK93281700"/>
    <n v="3"/>
    <m/>
    <s v="Google"/>
    <n v="338.31"/>
  </r>
  <r>
    <x v="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x v="287"/>
    <x v="254"/>
    <s v="C70437"/>
    <s v="Chair"/>
    <n v="4"/>
    <n v="655.17999999999995"/>
    <s v="630 Main St"/>
    <s v="Online"/>
    <s v="Shipped"/>
    <s v="TRK26628830"/>
    <n v="5"/>
    <m/>
    <s v="Facebook"/>
    <n v="2620.7199999999998"/>
  </r>
  <r>
    <x v="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x v="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x v="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x v="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x v="292"/>
    <x v="259"/>
    <s v="C39639"/>
    <s v="Monitor"/>
    <n v="1"/>
    <n v="65.95"/>
    <s v="185 Main St"/>
    <s v="Credit Card"/>
    <s v="Delivered"/>
    <s v="TRK31042152"/>
    <n v="5"/>
    <m/>
    <s v="Facebook"/>
    <n v="65.95"/>
  </r>
  <r>
    <x v="293"/>
    <x v="223"/>
    <s v="C33220"/>
    <s v="Tablet"/>
    <n v="4"/>
    <n v="463.04"/>
    <s v="564 Main St"/>
    <s v="Gift Card"/>
    <s v="Returned"/>
    <s v="TRK40450219"/>
    <n v="9"/>
    <m/>
    <s v="Instagram"/>
    <n v="1852.16"/>
  </r>
  <r>
    <x v="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x v="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x v="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x v="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x v="298"/>
    <x v="263"/>
    <s v="C19402"/>
    <s v="Printer"/>
    <n v="4"/>
    <n v="301.17"/>
    <s v="267 Main St"/>
    <s v="Online"/>
    <s v="Cancelled"/>
    <s v="TRK97825212"/>
    <n v="6"/>
    <m/>
    <s v="Email"/>
    <n v="1204.68"/>
  </r>
  <r>
    <x v="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x v="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x v="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x v="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x v="303"/>
    <x v="34"/>
    <s v="C48531"/>
    <s v="Tablet"/>
    <n v="1"/>
    <n v="30.54"/>
    <s v="368 Main St"/>
    <s v="Debit Card"/>
    <s v="Returned"/>
    <s v="TRK95462192"/>
    <n v="1"/>
    <m/>
    <s v="Google"/>
    <n v="30.54"/>
  </r>
  <r>
    <x v="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x v="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x v="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x v="307"/>
    <x v="268"/>
    <s v="C92407"/>
    <s v="Laptop"/>
    <n v="3"/>
    <n v="557.41"/>
    <s v="135 Main St"/>
    <s v="Online"/>
    <s v="Delivered"/>
    <s v="TRK11755610"/>
    <n v="4"/>
    <m/>
    <s v="Email"/>
    <n v="1672.23"/>
  </r>
  <r>
    <x v="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x v="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x v="310"/>
    <x v="270"/>
    <s v="C85863"/>
    <s v="Printer"/>
    <n v="3"/>
    <n v="132.47999999999999"/>
    <s v="968 Main St"/>
    <s v="Online"/>
    <s v="Shipped"/>
    <s v="TRK16094218"/>
    <n v="4"/>
    <m/>
    <s v="Referral"/>
    <n v="397.43999999999988"/>
  </r>
  <r>
    <x v="311"/>
    <x v="271"/>
    <s v="C71698"/>
    <s v="Desk"/>
    <n v="5"/>
    <n v="489.37"/>
    <s v="274 Main St"/>
    <s v="Online"/>
    <s v="Returned"/>
    <s v="TRK34786818"/>
    <n v="8"/>
    <m/>
    <s v="Instagram"/>
    <n v="2446.85"/>
  </r>
  <r>
    <x v="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x v="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x v="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x v="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x v="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x v="317"/>
    <x v="132"/>
    <s v="C88370"/>
    <s v="Monitor"/>
    <n v="2"/>
    <n v="139.94999999999999"/>
    <s v="339 Main St"/>
    <s v="Online"/>
    <s v="Returned"/>
    <s v="TRK22575151"/>
    <n v="5"/>
    <m/>
    <s v="Instagram"/>
    <n v="279.89999999999998"/>
  </r>
  <r>
    <x v="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x v="319"/>
    <x v="278"/>
    <s v="C53049"/>
    <s v="Laptop"/>
    <n v="2"/>
    <n v="563.05999999999995"/>
    <s v="413 Main St"/>
    <s v="Cash"/>
    <s v="Returned"/>
    <s v="TRK48974907"/>
    <n v="6"/>
    <m/>
    <s v="Instagram"/>
    <n v="1126.1199999999999"/>
  </r>
  <r>
    <x v="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x v="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x v="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x v="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x v="324"/>
    <x v="136"/>
    <s v="C13525"/>
    <s v="Tablet"/>
    <n v="3"/>
    <n v="70.930000000000007"/>
    <s v="847 Main St"/>
    <s v="Debit Card"/>
    <s v="Returned"/>
    <s v="TRK70193221"/>
    <n v="5"/>
    <m/>
    <s v="Referral"/>
    <n v="212.79"/>
  </r>
  <r>
    <x v="325"/>
    <x v="282"/>
    <s v="C53545"/>
    <s v="Desk"/>
    <n v="3"/>
    <n v="361.39"/>
    <s v="665 Main St"/>
    <s v="Credit Card"/>
    <s v="Shipped"/>
    <s v="TRK61123177"/>
    <n v="8"/>
    <m/>
    <s v="Referral"/>
    <n v="1084.17"/>
  </r>
  <r>
    <x v="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x v="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x v="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x v="329"/>
    <x v="286"/>
    <s v="C88371"/>
    <s v="Chair"/>
    <n v="4"/>
    <n v="283.16000000000003"/>
    <s v="306 Main St"/>
    <s v="Credit Card"/>
    <s v="Shipped"/>
    <s v="TRK63224811"/>
    <n v="6"/>
    <m/>
    <s v="Google"/>
    <n v="1132.6400000000001"/>
  </r>
  <r>
    <x v="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x v="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x v="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x v="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x v="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x v="335"/>
    <x v="291"/>
    <s v="C58721"/>
    <s v="Tablet"/>
    <n v="3"/>
    <n v="205.86"/>
    <s v="978 Main St"/>
    <s v="Gift Card"/>
    <s v="Shipped"/>
    <s v="TRK34801199"/>
    <n v="4"/>
    <m/>
    <s v="Email"/>
    <n v="617.58000000000004"/>
  </r>
  <r>
    <x v="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x v="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x v="338"/>
    <x v="293"/>
    <s v="C53627"/>
    <s v="Phone"/>
    <n v="5"/>
    <n v="305.49"/>
    <s v="704 Main St"/>
    <s v="Debit Card"/>
    <s v="Shipped"/>
    <s v="TRK64112352"/>
    <n v="10"/>
    <m/>
    <s v="Referral"/>
    <n v="1527.45"/>
  </r>
  <r>
    <x v="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x v="340"/>
    <x v="295"/>
    <s v="C76207"/>
    <s v="Laptop"/>
    <n v="5"/>
    <n v="521.25"/>
    <s v="826 Main St"/>
    <s v="Cash"/>
    <s v="Cancelled"/>
    <s v="TRK25569378"/>
    <n v="8"/>
    <m/>
    <s v="Email"/>
    <n v="2606.25"/>
  </r>
  <r>
    <x v="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x v="342"/>
    <x v="53"/>
    <s v="C69994"/>
    <s v="Monitor"/>
    <n v="5"/>
    <n v="466.42"/>
    <s v="619 Main St"/>
    <s v="Gift Card"/>
    <s v="Returned"/>
    <s v="TRK95935805"/>
    <n v="5"/>
    <m/>
    <s v="Referral"/>
    <n v="2332.1"/>
  </r>
  <r>
    <x v="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x v="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x v="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x v="346"/>
    <x v="299"/>
    <s v="C31764"/>
    <s v="Tablet"/>
    <n v="1"/>
    <n v="655.09"/>
    <s v="876 Main St"/>
    <s v="Cash"/>
    <s v="Pending"/>
    <s v="TRK44680433"/>
    <n v="6"/>
    <m/>
    <s v="Referral"/>
    <n v="655.09"/>
  </r>
  <r>
    <x v="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x v="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x v="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x v="350"/>
    <x v="301"/>
    <s v="C13296"/>
    <s v="Chair"/>
    <n v="2"/>
    <n v="54.41"/>
    <s v="495 Main St"/>
    <s v="Online"/>
    <s v="Shipped"/>
    <s v="TRK60127216"/>
    <n v="6"/>
    <m/>
    <s v="Instagram"/>
    <n v="108.82"/>
  </r>
  <r>
    <x v="351"/>
    <x v="302"/>
    <s v="C94248"/>
    <s v="Laptop"/>
    <n v="1"/>
    <n v="64.66"/>
    <s v="494 Main St"/>
    <s v="Debit Card"/>
    <s v="Delivered"/>
    <s v="TRK89406816"/>
    <n v="4"/>
    <m/>
    <s v="Instagram"/>
    <n v="64.66"/>
  </r>
  <r>
    <x v="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x v="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x v="354"/>
    <x v="304"/>
    <s v="C31772"/>
    <s v="Phone"/>
    <n v="1"/>
    <n v="693.41"/>
    <s v="992 Main St"/>
    <s v="Debit Card"/>
    <s v="Shipped"/>
    <s v="TRK11970357"/>
    <n v="4"/>
    <m/>
    <s v="Instagram"/>
    <n v="693.41"/>
  </r>
  <r>
    <x v="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x v="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x v="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x v="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x v="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x v="360"/>
    <x v="309"/>
    <s v="C53810"/>
    <s v="Phone"/>
    <n v="4"/>
    <n v="589.57000000000005"/>
    <s v="779 Main St"/>
    <s v="Cash"/>
    <s v="Pending"/>
    <s v="TRK34630612"/>
    <n v="8"/>
    <m/>
    <s v="Instagram"/>
    <n v="2358.2800000000002"/>
  </r>
  <r>
    <x v="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x v="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x v="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x v="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x v="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x v="366"/>
    <x v="312"/>
    <s v="C95213"/>
    <s v="Printer"/>
    <n v="3"/>
    <n v="602.24"/>
    <s v="603 Main St"/>
    <s v="Debit Card"/>
    <s v="Pending"/>
    <s v="TRK40630538"/>
    <n v="8"/>
    <m/>
    <s v="Referral"/>
    <n v="1806.72"/>
  </r>
  <r>
    <x v="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x v="368"/>
    <x v="31"/>
    <s v="C85322"/>
    <s v="Monitor"/>
    <n v="3"/>
    <n v="271.02"/>
    <s v="403 Main St"/>
    <s v="Credit Card"/>
    <s v="Cancelled"/>
    <s v="TRK89728869"/>
    <n v="6"/>
    <m/>
    <s v="Google"/>
    <n v="813.06"/>
  </r>
  <r>
    <x v="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x v="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x v="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x v="372"/>
    <x v="311"/>
    <s v="C53645"/>
    <s v="Chair"/>
    <n v="3"/>
    <n v="483.53"/>
    <s v="166 Main St"/>
    <s v="Cash"/>
    <s v="Returned"/>
    <s v="TRK12123939"/>
    <n v="4"/>
    <m/>
    <s v="Referral"/>
    <n v="1450.59"/>
  </r>
  <r>
    <x v="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x v="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x v="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x v="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x v="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x v="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x v="379"/>
    <x v="321"/>
    <s v="C47284"/>
    <s v="Phone"/>
    <n v="3"/>
    <n v="297.67"/>
    <s v="500 Main St"/>
    <s v="Online"/>
    <s v="Shipped"/>
    <s v="TRK85756094"/>
    <n v="6"/>
    <m/>
    <s v="Google"/>
    <n v="893.01"/>
  </r>
  <r>
    <x v="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x v="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x v="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x v="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x v="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x v="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x v="386"/>
    <x v="200"/>
    <s v="C12421"/>
    <s v="Tablet"/>
    <n v="1"/>
    <n v="93.02"/>
    <s v="373 Main St"/>
    <s v="Online"/>
    <s v="Returned"/>
    <s v="TRK32588504"/>
    <n v="4"/>
    <m/>
    <s v="Email"/>
    <n v="93.02"/>
  </r>
  <r>
    <x v="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x v="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x v="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x v="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x v="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x v="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x v="393"/>
    <x v="330"/>
    <s v="C39906"/>
    <s v="Printer"/>
    <n v="1"/>
    <n v="75.010000000000005"/>
    <s v="921 Main St"/>
    <s v="Credit Card"/>
    <s v="Returned"/>
    <s v="TRK24632134"/>
    <n v="3"/>
    <m/>
    <s v="Google"/>
    <n v="75.010000000000005"/>
  </r>
  <r>
    <x v="394"/>
    <x v="176"/>
    <s v="C70148"/>
    <s v="Desk"/>
    <n v="5"/>
    <n v="529.54999999999995"/>
    <s v="359 Main St"/>
    <s v="Gift Card"/>
    <s v="Shipped"/>
    <s v="TRK34848650"/>
    <n v="10"/>
    <m/>
    <s v="Facebook"/>
    <n v="2647.75"/>
  </r>
  <r>
    <x v="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x v="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x v="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x v="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x v="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x v="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x v="401"/>
    <x v="23"/>
    <s v="C98635"/>
    <s v="Printer"/>
    <n v="1"/>
    <n v="538.67999999999995"/>
    <s v="197 Main St"/>
    <s v="Debit Card"/>
    <s v="Returned"/>
    <s v="TRK14225465"/>
    <n v="6"/>
    <m/>
    <s v="Referral"/>
    <n v="538.67999999999995"/>
  </r>
  <r>
    <x v="402"/>
    <x v="336"/>
    <s v="C83026"/>
    <s v="Printer"/>
    <n v="5"/>
    <n v="337.38"/>
    <s v="858 Main St"/>
    <s v="Gift Card"/>
    <s v="Shipped"/>
    <s v="TRK79746259"/>
    <n v="5"/>
    <m/>
    <s v="Referral"/>
    <n v="1686.9"/>
  </r>
  <r>
    <x v="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x v="404"/>
    <x v="338"/>
    <s v="C45482"/>
    <s v="Monitor"/>
    <n v="2"/>
    <n v="99.1"/>
    <s v="440 Main St"/>
    <s v="Cash"/>
    <s v="Delivered"/>
    <s v="TRK54571699"/>
    <n v="6"/>
    <m/>
    <s v="Instagram"/>
    <n v="198.2"/>
  </r>
  <r>
    <x v="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x v="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x v="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x v="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x v="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x v="410"/>
    <x v="343"/>
    <s v="C37375"/>
    <s v="Tablet"/>
    <n v="2"/>
    <n v="518.23"/>
    <s v="184 Main St"/>
    <s v="Debit Card"/>
    <s v="Shipped"/>
    <s v="TRK52470162"/>
    <n v="5"/>
    <m/>
    <s v="Email"/>
    <n v="1036.46"/>
  </r>
  <r>
    <x v="411"/>
    <x v="83"/>
    <s v="C66567"/>
    <s v="Desk"/>
    <n v="2"/>
    <n v="39.51"/>
    <s v="981 Main St"/>
    <s v="Online"/>
    <s v="Shipped"/>
    <s v="TRK21174822"/>
    <n v="5"/>
    <m/>
    <s v="Facebook"/>
    <n v="79.02"/>
  </r>
  <r>
    <x v="412"/>
    <x v="344"/>
    <s v="C42451"/>
    <s v="Tablet"/>
    <n v="5"/>
    <n v="133.01"/>
    <s v="246 Main St"/>
    <s v="Credit Card"/>
    <s v="Returned"/>
    <s v="TRK31313343"/>
    <n v="10"/>
    <m/>
    <s v="Facebook"/>
    <n v="665.05"/>
  </r>
  <r>
    <x v="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x v="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x v="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x v="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x v="417"/>
    <x v="347"/>
    <s v="C44492"/>
    <s v="Laptop"/>
    <n v="5"/>
    <n v="55.41"/>
    <s v="954 Main St"/>
    <s v="Online"/>
    <s v="Cancelled"/>
    <s v="TRK51429869"/>
    <n v="5"/>
    <m/>
    <s v="Google"/>
    <n v="277.05"/>
  </r>
  <r>
    <x v="418"/>
    <x v="348"/>
    <s v="C74169"/>
    <s v="Printer"/>
    <n v="1"/>
    <n v="310.93"/>
    <s v="862 Main St"/>
    <s v="Online"/>
    <s v="Cancelled"/>
    <s v="TRK66144809"/>
    <n v="3"/>
    <m/>
    <s v="Facebook"/>
    <n v="310.93"/>
  </r>
  <r>
    <x v="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x v="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x v="421"/>
    <x v="3"/>
    <s v="C50683"/>
    <s v="Chair"/>
    <n v="2"/>
    <n v="288.20999999999998"/>
    <s v="769 Main St"/>
    <s v="Debit Card"/>
    <s v="Cancelled"/>
    <s v="TRK53032122"/>
    <n v="5"/>
    <m/>
    <s v="Email"/>
    <n v="576.41999999999996"/>
  </r>
  <r>
    <x v="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x v="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x v="424"/>
    <x v="352"/>
    <s v="C49491"/>
    <s v="Chair"/>
    <n v="5"/>
    <n v="22.94"/>
    <s v="339 Main St"/>
    <s v="Cash"/>
    <s v="Pending"/>
    <s v="TRK64012257"/>
    <n v="10"/>
    <m/>
    <s v="Email"/>
    <n v="114.7"/>
  </r>
  <r>
    <x v="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x v="426"/>
    <x v="353"/>
    <s v="C40967"/>
    <s v="Monitor"/>
    <n v="5"/>
    <n v="57.45"/>
    <s v="315 Main St"/>
    <s v="Cash"/>
    <s v="Cancelled"/>
    <s v="TRK24839296"/>
    <n v="10"/>
    <m/>
    <s v="Facebook"/>
    <n v="287.25"/>
  </r>
  <r>
    <x v="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x v="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x v="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x v="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x v="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x v="432"/>
    <x v="355"/>
    <s v="C58443"/>
    <s v="Tablet"/>
    <n v="2"/>
    <n v="424.32"/>
    <s v="662 Main St"/>
    <s v="Credit Card"/>
    <s v="Returned"/>
    <s v="TRK77163738"/>
    <n v="6"/>
    <m/>
    <s v="Referral"/>
    <n v="848.64"/>
  </r>
  <r>
    <x v="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x v="434"/>
    <x v="356"/>
    <s v="C73893"/>
    <s v="Printer"/>
    <n v="5"/>
    <n v="327.68"/>
    <s v="384 Main St"/>
    <s v="Credit Card"/>
    <s v="Returned"/>
    <s v="TRK85939879"/>
    <n v="6"/>
    <m/>
    <s v="Facebook"/>
    <n v="1638.4"/>
  </r>
  <r>
    <x v="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x v="436"/>
    <x v="91"/>
    <s v="C14568"/>
    <s v="Laptop"/>
    <n v="4"/>
    <n v="221.33"/>
    <s v="651 Main St"/>
    <s v="Online"/>
    <s v="Pending"/>
    <s v="TRK73545796"/>
    <n v="5"/>
    <m/>
    <s v="Google"/>
    <n v="885.32"/>
  </r>
  <r>
    <x v="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x v="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x v="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x v="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x v="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x v="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x v="443"/>
    <x v="358"/>
    <s v="C61668"/>
    <s v="Chair"/>
    <n v="2"/>
    <n v="69.64"/>
    <s v="813 Main St"/>
    <s v="Cash"/>
    <s v="Returned"/>
    <s v="TRK58970302"/>
    <n v="6"/>
    <m/>
    <s v="Facebook"/>
    <n v="139.28"/>
  </r>
  <r>
    <x v="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x v="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x v="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x v="447"/>
    <x v="158"/>
    <s v="C48207"/>
    <s v="Printer"/>
    <n v="2"/>
    <n v="416.81"/>
    <s v="356 Main St"/>
    <s v="Cash"/>
    <s v="Returned"/>
    <s v="TRK45355655"/>
    <n v="2"/>
    <m/>
    <s v="Facebook"/>
    <n v="833.62"/>
  </r>
  <r>
    <x v="448"/>
    <x v="355"/>
    <s v="C16776"/>
    <s v="Laptop"/>
    <n v="2"/>
    <n v="160"/>
    <s v="854 Main St"/>
    <s v="Cash"/>
    <s v="Pending"/>
    <s v="TRK12860600"/>
    <n v="4"/>
    <s v="SAVE10"/>
    <s v="Instagram"/>
    <n v="320"/>
  </r>
  <r>
    <x v="449"/>
    <x v="360"/>
    <s v="C91518"/>
    <s v="Tablet"/>
    <n v="3"/>
    <n v="253.05"/>
    <s v="286 Main St"/>
    <s v="Online"/>
    <s v="Pending"/>
    <s v="TRK48688724"/>
    <n v="3"/>
    <m/>
    <s v="Instagram"/>
    <n v="759.15000000000009"/>
  </r>
  <r>
    <x v="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x v="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x v="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x v="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x v="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x v="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x v="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x v="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x v="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x v="459"/>
    <x v="25"/>
    <s v="C90142"/>
    <s v="Desk"/>
    <n v="1"/>
    <n v="334.39"/>
    <s v="433 Main St"/>
    <s v="Credit Card"/>
    <s v="Returned"/>
    <s v="TRK39717191"/>
    <n v="2"/>
    <m/>
    <s v="Instagram"/>
    <n v="334.39"/>
  </r>
  <r>
    <x v="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x v="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x v="462"/>
    <x v="368"/>
    <s v="C22991"/>
    <s v="Phone"/>
    <n v="1"/>
    <n v="252.68"/>
    <s v="731 Main St"/>
    <s v="Online"/>
    <s v="Cancelled"/>
    <s v="TRK32796086"/>
    <n v="1"/>
    <m/>
    <s v="Referral"/>
    <n v="252.68"/>
  </r>
  <r>
    <x v="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x v="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x v="465"/>
    <x v="235"/>
    <s v="C58773"/>
    <s v="Printer"/>
    <n v="5"/>
    <n v="513.49"/>
    <s v="391 Main St"/>
    <s v="Gift Card"/>
    <s v="Cancelled"/>
    <s v="TRK65438300"/>
    <n v="8"/>
    <m/>
    <s v="Google"/>
    <n v="2567.4499999999998"/>
  </r>
  <r>
    <x v="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x v="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x v="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x v="469"/>
    <x v="371"/>
    <s v="C13877"/>
    <s v="Chair"/>
    <n v="5"/>
    <n v="676.98"/>
    <s v="893 Main St"/>
    <s v="Cash"/>
    <s v="Cancelled"/>
    <s v="TRK17254691"/>
    <n v="5"/>
    <m/>
    <s v="Facebook"/>
    <n v="3384.9"/>
  </r>
  <r>
    <x v="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x v="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x v="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x v="473"/>
    <x v="86"/>
    <s v="C28552"/>
    <s v="Chair"/>
    <n v="2"/>
    <n v="14.93"/>
    <s v="449 Main St"/>
    <s v="Online"/>
    <s v="Shipped"/>
    <s v="TRK71597160"/>
    <n v="4"/>
    <m/>
    <s v="Facebook"/>
    <n v="29.86"/>
  </r>
  <r>
    <x v="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x v="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x v="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x v="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x v="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x v="479"/>
    <x v="378"/>
    <s v="C87011"/>
    <s v="Monitor"/>
    <n v="4"/>
    <n v="25.29"/>
    <s v="943 Main St"/>
    <s v="Credit Card"/>
    <s v="Pending"/>
    <s v="TRK21429162"/>
    <n v="8"/>
    <m/>
    <s v="Google"/>
    <n v="101.16"/>
  </r>
  <r>
    <x v="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x v="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x v="482"/>
    <x v="380"/>
    <s v="C35852"/>
    <s v="Monitor"/>
    <n v="3"/>
    <n v="381.41"/>
    <s v="989 Main St"/>
    <s v="Online"/>
    <s v="Pending"/>
    <s v="TRK22302049"/>
    <n v="6"/>
    <m/>
    <s v="Instagram"/>
    <n v="1144.23"/>
  </r>
  <r>
    <x v="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x v="484"/>
    <x v="382"/>
    <s v="C29092"/>
    <s v="Chair"/>
    <n v="4"/>
    <n v="15.01"/>
    <s v="767 Main St"/>
    <s v="Cash"/>
    <s v="Cancelled"/>
    <s v="TRK90455340"/>
    <n v="6"/>
    <m/>
    <s v="Facebook"/>
    <n v="60.04"/>
  </r>
  <r>
    <x v="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x v="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x v="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x v="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x v="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x v="490"/>
    <x v="319"/>
    <s v="C50097"/>
    <s v="Chair"/>
    <n v="5"/>
    <n v="467.81"/>
    <s v="539 Main St"/>
    <s v="Online"/>
    <s v="Cancelled"/>
    <s v="TRK62785150"/>
    <n v="10"/>
    <m/>
    <s v="Facebook"/>
    <n v="2339.0500000000002"/>
  </r>
  <r>
    <x v="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x v="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x v="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x v="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x v="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x v="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x v="497"/>
    <x v="101"/>
    <s v="C93948"/>
    <s v="Printer"/>
    <n v="3"/>
    <n v="112.29"/>
    <s v="454 Main St"/>
    <s v="Gift Card"/>
    <s v="Shipped"/>
    <s v="TRK77358113"/>
    <n v="6"/>
    <m/>
    <s v="Google"/>
    <n v="336.87"/>
  </r>
  <r>
    <x v="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x v="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x v="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x v="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x v="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x v="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x v="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x v="505"/>
    <x v="236"/>
    <s v="C36014"/>
    <s v="Printer"/>
    <n v="2"/>
    <n v="434.97"/>
    <s v="558 Main St"/>
    <s v="Online"/>
    <s v="Shipped"/>
    <s v="TRK97246526"/>
    <n v="7"/>
    <m/>
    <s v="Email"/>
    <n v="869.94"/>
  </r>
  <r>
    <x v="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x v="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x v="508"/>
    <x v="391"/>
    <s v="C39550"/>
    <s v="Phone"/>
    <n v="1"/>
    <n v="558.27"/>
    <s v="976 Main St"/>
    <s v="Online"/>
    <s v="Delivered"/>
    <s v="TRK24120267"/>
    <n v="1"/>
    <m/>
    <s v="Referral"/>
    <n v="558.27"/>
  </r>
  <r>
    <x v="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x v="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x v="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x v="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x v="513"/>
    <x v="396"/>
    <s v="C64128"/>
    <s v="Tablet"/>
    <n v="3"/>
    <n v="94.88"/>
    <s v="533 Main St"/>
    <s v="Gift Card"/>
    <s v="Shipped"/>
    <s v="TRK37053575"/>
    <n v="8"/>
    <m/>
    <s v="Referral"/>
    <n v="284.64"/>
  </r>
  <r>
    <x v="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x v="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x v="516"/>
    <x v="158"/>
    <s v="C47022"/>
    <s v="Monitor"/>
    <n v="3"/>
    <n v="166.99"/>
    <s v="208 Main St"/>
    <s v="Cash"/>
    <s v="Returned"/>
    <s v="TRK28855040"/>
    <n v="8"/>
    <m/>
    <s v="Facebook"/>
    <n v="500.97"/>
  </r>
  <r>
    <x v="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x v="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x v="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x v="520"/>
    <x v="401"/>
    <s v="C66332"/>
    <s v="Monitor"/>
    <n v="3"/>
    <n v="635.98"/>
    <s v="959 Main St"/>
    <s v="Cash"/>
    <s v="Returned"/>
    <s v="TRK27063398"/>
    <n v="5"/>
    <m/>
    <s v="Referral"/>
    <n v="1907.94"/>
  </r>
  <r>
    <x v="521"/>
    <x v="402"/>
    <s v="C82318"/>
    <s v="Phone"/>
    <n v="1"/>
    <n v="528.05999999999995"/>
    <s v="991 Main St"/>
    <s v="Credit Card"/>
    <s v="Shipped"/>
    <s v="TRK37534165"/>
    <n v="2"/>
    <m/>
    <s v="Facebook"/>
    <n v="528.05999999999995"/>
  </r>
  <r>
    <x v="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x v="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x v="524"/>
    <x v="385"/>
    <s v="C44778"/>
    <s v="Phone"/>
    <n v="1"/>
    <n v="153"/>
    <s v="103 Main St"/>
    <s v="Credit Card"/>
    <s v="Returned"/>
    <s v="TRK92617366"/>
    <n v="4"/>
    <m/>
    <s v="Referral"/>
    <n v="153"/>
  </r>
  <r>
    <x v="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x v="526"/>
    <x v="405"/>
    <s v="C91201"/>
    <s v="Desk"/>
    <n v="2"/>
    <n v="46.5"/>
    <s v="837 Main St"/>
    <s v="Cash"/>
    <s v="Returned"/>
    <s v="TRK63526023"/>
    <n v="7"/>
    <s v="WINTER15"/>
    <s v="Google"/>
    <n v="93"/>
  </r>
  <r>
    <x v="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x v="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x v="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x v="530"/>
    <x v="408"/>
    <s v="C98450"/>
    <s v="Chair"/>
    <n v="4"/>
    <n v="89.41"/>
    <s v="613 Main St"/>
    <s v="Online"/>
    <s v="Pending"/>
    <s v="TRK14809530"/>
    <n v="9"/>
    <m/>
    <s v="Google"/>
    <n v="357.64"/>
  </r>
  <r>
    <x v="531"/>
    <x v="367"/>
    <s v="C64502"/>
    <s v="Desk"/>
    <n v="5"/>
    <n v="320.01"/>
    <s v="722 Main St"/>
    <s v="Gift Card"/>
    <s v="Delivered"/>
    <s v="TRK14914388"/>
    <n v="6"/>
    <m/>
    <s v="Referral"/>
    <n v="1600.05"/>
  </r>
  <r>
    <x v="532"/>
    <x v="120"/>
    <s v="C47365"/>
    <s v="Laptop"/>
    <n v="2"/>
    <n v="41"/>
    <s v="369 Main St"/>
    <s v="Online"/>
    <s v="Delivered"/>
    <s v="TRK42207882"/>
    <n v="7"/>
    <m/>
    <s v="Email"/>
    <n v="82"/>
  </r>
  <r>
    <x v="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x v="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x v="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x v="536"/>
    <x v="410"/>
    <s v="C18724"/>
    <s v="Chair"/>
    <n v="1"/>
    <n v="616.1"/>
    <s v="124 Main St"/>
    <s v="Cash"/>
    <s v="Returned"/>
    <s v="TRK52508861"/>
    <n v="6"/>
    <m/>
    <s v="Email"/>
    <n v="616.1"/>
  </r>
  <r>
    <x v="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x v="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x v="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x v="540"/>
    <x v="412"/>
    <s v="C87281"/>
    <s v="Laptop"/>
    <n v="5"/>
    <n v="648.65"/>
    <s v="852 Main St"/>
    <s v="Online"/>
    <s v="Pending"/>
    <s v="TRK81765057"/>
    <n v="7"/>
    <m/>
    <s v="Referral"/>
    <n v="3243.25"/>
  </r>
  <r>
    <x v="541"/>
    <x v="413"/>
    <s v="C69009"/>
    <s v="Printer"/>
    <n v="5"/>
    <n v="456.06"/>
    <s v="879 Main St"/>
    <s v="Cash"/>
    <s v="Pending"/>
    <s v="TRK61295842"/>
    <n v="10"/>
    <m/>
    <s v="Instagram"/>
    <n v="2280.3000000000002"/>
  </r>
  <r>
    <x v="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x v="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x v="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x v="545"/>
    <x v="263"/>
    <s v="C74138"/>
    <s v="Monitor"/>
    <n v="2"/>
    <n v="98.47"/>
    <s v="964 Main St"/>
    <s v="Cash"/>
    <s v="Returned"/>
    <s v="TRK74091695"/>
    <n v="3"/>
    <m/>
    <s v="Instagram"/>
    <n v="196.94"/>
  </r>
  <r>
    <x v="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x v="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x v="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x v="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x v="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x v="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x v="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x v="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x v="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x v="555"/>
    <x v="33"/>
    <s v="C88933"/>
    <s v="Tablet"/>
    <n v="1"/>
    <n v="92.04"/>
    <s v="333 Main St"/>
    <s v="Cash"/>
    <s v="Shipped"/>
    <s v="TRK89306964"/>
    <n v="2"/>
    <m/>
    <s v="Facebook"/>
    <n v="92.04"/>
  </r>
  <r>
    <x v="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x v="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x v="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x v="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x v="560"/>
    <x v="425"/>
    <s v="C33634"/>
    <s v="Monitor"/>
    <n v="4"/>
    <n v="588.85"/>
    <s v="524 Main St"/>
    <s v="Gift Card"/>
    <s v="Pending"/>
    <s v="TRK93168008"/>
    <n v="7"/>
    <m/>
    <s v="Email"/>
    <n v="2355.4"/>
  </r>
  <r>
    <x v="561"/>
    <x v="425"/>
    <s v="C96822"/>
    <s v="Printer"/>
    <n v="2"/>
    <n v="494.78"/>
    <s v="198 Main St"/>
    <s v="Online"/>
    <s v="Shipped"/>
    <s v="TRK89180077"/>
    <n v="2"/>
    <m/>
    <s v="Google"/>
    <n v="989.56"/>
  </r>
  <r>
    <x v="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x v="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x v="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x v="565"/>
    <x v="429"/>
    <s v="C62042"/>
    <s v="Tablet"/>
    <n v="5"/>
    <n v="307.98"/>
    <s v="214 Main St"/>
    <s v="Online"/>
    <s v="Pending"/>
    <s v="TRK42605492"/>
    <n v="10"/>
    <m/>
    <s v="Facebook"/>
    <n v="1539.9"/>
  </r>
  <r>
    <x v="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x v="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x v="568"/>
    <x v="401"/>
    <s v="C29072"/>
    <s v="Laptop"/>
    <n v="2"/>
    <n v="343.99"/>
    <s v="312 Main St"/>
    <s v="Online"/>
    <s v="Delivered"/>
    <s v="TRK72334047"/>
    <n v="4"/>
    <m/>
    <s v="Google"/>
    <n v="687.98"/>
  </r>
  <r>
    <x v="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x v="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x v="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x v="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x v="573"/>
    <x v="261"/>
    <s v="C13205"/>
    <s v="Chair"/>
    <n v="5"/>
    <n v="421.42"/>
    <s v="522 Main St"/>
    <s v="Debit Card"/>
    <s v="Cancelled"/>
    <s v="TRK30686578"/>
    <n v="7"/>
    <m/>
    <s v="Instagram"/>
    <n v="2107.1"/>
  </r>
  <r>
    <x v="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x v="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x v="576"/>
    <x v="382"/>
    <s v="C14457"/>
    <s v="Laptop"/>
    <n v="5"/>
    <n v="79.08"/>
    <s v="747 Main St"/>
    <s v="Cash"/>
    <s v="Pending"/>
    <s v="TRK42517811"/>
    <n v="8"/>
    <m/>
    <s v="Facebook"/>
    <n v="395.4"/>
  </r>
  <r>
    <x v="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x v="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x v="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x v="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x v="581"/>
    <x v="435"/>
    <s v="C44674"/>
    <s v="Laptop"/>
    <n v="1"/>
    <n v="627.34"/>
    <s v="942 Main St"/>
    <s v="Online"/>
    <s v="Delivered"/>
    <s v="TRK87158684"/>
    <n v="1"/>
    <m/>
    <s v="Referral"/>
    <n v="627.34"/>
  </r>
  <r>
    <x v="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x v="583"/>
    <x v="437"/>
    <s v="C27072"/>
    <s v="Chair"/>
    <n v="3"/>
    <n v="154.37"/>
    <s v="996 Main St"/>
    <s v="Gift Card"/>
    <s v="Delivered"/>
    <s v="TRK29750379"/>
    <n v="4"/>
    <m/>
    <s v="Instagram"/>
    <n v="463.11"/>
  </r>
  <r>
    <x v="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x v="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x v="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x v="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x v="588"/>
    <x v="440"/>
    <s v="C61849"/>
    <s v="Monitor"/>
    <n v="4"/>
    <n v="577.82000000000005"/>
    <s v="811 Main St"/>
    <s v="Credit Card"/>
    <s v="Delivered"/>
    <s v="TRK47613918"/>
    <n v="9"/>
    <m/>
    <s v="Google"/>
    <n v="2311.2800000000002"/>
  </r>
  <r>
    <x v="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x v="590"/>
    <x v="442"/>
    <s v="C55757"/>
    <s v="Printer"/>
    <n v="2"/>
    <n v="461.13"/>
    <s v="175 Main St"/>
    <s v="Gift Card"/>
    <s v="Returned"/>
    <s v="TRK27356242"/>
    <n v="4"/>
    <m/>
    <s v="Email"/>
    <n v="922.26"/>
  </r>
  <r>
    <x v="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x v="592"/>
    <x v="234"/>
    <s v="C42306"/>
    <s v="Phone"/>
    <n v="3"/>
    <n v="204.27"/>
    <s v="938 Main St"/>
    <s v="Online"/>
    <s v="Returned"/>
    <s v="TRK15499648"/>
    <n v="4"/>
    <m/>
    <s v="Google"/>
    <n v="612.81000000000006"/>
  </r>
  <r>
    <x v="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x v="594"/>
    <x v="444"/>
    <s v="C40140"/>
    <s v="Phone"/>
    <n v="5"/>
    <n v="72.64"/>
    <s v="598 Main St"/>
    <s v="Credit Card"/>
    <s v="Cancelled"/>
    <s v="TRK12671989"/>
    <n v="7"/>
    <m/>
    <s v="Email"/>
    <n v="363.2"/>
  </r>
  <r>
    <x v="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x v="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x v="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x v="598"/>
    <x v="447"/>
    <s v="C60329"/>
    <s v="Desk"/>
    <n v="5"/>
    <n v="495.35"/>
    <s v="826 Main St"/>
    <s v="Credit Card"/>
    <s v="Pending"/>
    <s v="TRK59069987"/>
    <n v="5"/>
    <m/>
    <s v="Facebook"/>
    <n v="2476.75"/>
  </r>
  <r>
    <x v="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x v="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x v="601"/>
    <x v="276"/>
    <s v="C12479"/>
    <s v="Monitor"/>
    <n v="5"/>
    <n v="24.82"/>
    <s v="529 Main St"/>
    <s v="Credit Card"/>
    <s v="Shipped"/>
    <s v="TRK73935314"/>
    <n v="10"/>
    <m/>
    <s v="Referral"/>
    <n v="124.1"/>
  </r>
  <r>
    <x v="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x v="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x v="604"/>
    <x v="450"/>
    <s v="C99214"/>
    <s v="Chair"/>
    <n v="3"/>
    <n v="32.619999999999997"/>
    <s v="252 Main St"/>
    <s v="Debit Card"/>
    <s v="Delivered"/>
    <s v="TRK81368481"/>
    <n v="6"/>
    <m/>
    <s v="Facebook"/>
    <n v="97.859999999999985"/>
  </r>
  <r>
    <x v="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x v="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x v="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x v="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x v="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x v="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x v="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x v="612"/>
    <x v="454"/>
    <s v="C51811"/>
    <s v="Chair"/>
    <n v="3"/>
    <n v="445.12"/>
    <s v="339 Main St"/>
    <s v="Gift Card"/>
    <s v="Cancelled"/>
    <s v="TRK82377939"/>
    <n v="8"/>
    <m/>
    <s v="Google"/>
    <n v="1335.36"/>
  </r>
  <r>
    <x v="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x v="614"/>
    <x v="455"/>
    <s v="C77363"/>
    <s v="Phone"/>
    <n v="1"/>
    <n v="96.81"/>
    <s v="807 Main St"/>
    <s v="Gift Card"/>
    <s v="Cancelled"/>
    <s v="TRK12439827"/>
    <n v="3"/>
    <m/>
    <s v="Referral"/>
    <n v="96.81"/>
  </r>
  <r>
    <x v="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x v="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x v="617"/>
    <x v="458"/>
    <s v="C57093"/>
    <s v="Tablet"/>
    <n v="3"/>
    <n v="184.47"/>
    <s v="834 Main St"/>
    <s v="Online"/>
    <s v="Cancelled"/>
    <s v="TRK75469057"/>
    <n v="4"/>
    <m/>
    <s v="Referral"/>
    <n v="553.41"/>
  </r>
  <r>
    <x v="618"/>
    <x v="459"/>
    <s v="C50565"/>
    <s v="Tablet"/>
    <n v="1"/>
    <n v="411.34"/>
    <s v="399 Main St"/>
    <s v="Debit Card"/>
    <s v="Returned"/>
    <s v="TRK97981418"/>
    <n v="5"/>
    <m/>
    <s v="Instagram"/>
    <n v="411.34"/>
  </r>
  <r>
    <x v="619"/>
    <x v="424"/>
    <s v="C38845"/>
    <s v="Laptop"/>
    <n v="1"/>
    <n v="532.89"/>
    <s v="764 Main St"/>
    <s v="Gift Card"/>
    <s v="Pending"/>
    <s v="TRK47637374"/>
    <n v="2"/>
    <m/>
    <s v="Referral"/>
    <n v="532.89"/>
  </r>
  <r>
    <x v="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x v="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x v="622"/>
    <x v="461"/>
    <s v="C27078"/>
    <s v="Desk"/>
    <n v="5"/>
    <n v="236.38"/>
    <s v="128 Main St"/>
    <s v="Credit Card"/>
    <s v="Returned"/>
    <s v="TRK89314307"/>
    <n v="7"/>
    <m/>
    <s v="Facebook"/>
    <n v="1181.9000000000001"/>
  </r>
  <r>
    <x v="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x v="624"/>
    <x v="462"/>
    <s v="C25967"/>
    <s v="Tablet"/>
    <n v="5"/>
    <n v="341.96"/>
    <s v="747 Main St"/>
    <s v="Debit Card"/>
    <s v="Delivered"/>
    <s v="TRK88559278"/>
    <n v="6"/>
    <m/>
    <s v="Email"/>
    <n v="1709.8"/>
  </r>
  <r>
    <x v="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x v="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x v="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x v="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x v="629"/>
    <x v="466"/>
    <s v="C50137"/>
    <s v="Phone"/>
    <n v="3"/>
    <n v="19.73"/>
    <s v="840 Main St"/>
    <s v="Online"/>
    <s v="Pending"/>
    <s v="TRK91836131"/>
    <n v="3"/>
    <m/>
    <s v="Referral"/>
    <n v="59.19"/>
  </r>
  <r>
    <x v="630"/>
    <x v="467"/>
    <s v="C51481"/>
    <s v="Monitor"/>
    <n v="5"/>
    <n v="248.84"/>
    <s v="140 Main St"/>
    <s v="Debit Card"/>
    <s v="Cancelled"/>
    <s v="TRK33437701"/>
    <n v="10"/>
    <m/>
    <s v="Instagram"/>
    <n v="1244.2"/>
  </r>
  <r>
    <x v="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x v="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x v="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x v="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x v="635"/>
    <x v="141"/>
    <s v="C12818"/>
    <s v="Chair"/>
    <n v="3"/>
    <n v="63.68"/>
    <s v="434 Main St"/>
    <s v="Cash"/>
    <s v="Returned"/>
    <s v="TRK40879983"/>
    <n v="6"/>
    <m/>
    <s v="Facebook"/>
    <n v="191.04"/>
  </r>
  <r>
    <x v="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x v="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x v="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x v="639"/>
    <x v="325"/>
    <s v="C22534"/>
    <s v="Chair"/>
    <n v="1"/>
    <n v="529.19000000000005"/>
    <s v="391 Main St"/>
    <s v="Cash"/>
    <s v="Cancelled"/>
    <s v="TRK17415798"/>
    <n v="5"/>
    <m/>
    <s v="Referral"/>
    <n v="529.19000000000005"/>
  </r>
  <r>
    <x v="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x v="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x v="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x v="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x v="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x v="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x v="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x v="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x v="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x v="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x v="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x v="651"/>
    <x v="476"/>
    <s v="C81192"/>
    <s v="Chair"/>
    <n v="3"/>
    <n v="646.34"/>
    <s v="429 Main St"/>
    <s v="Debit Card"/>
    <s v="Pending"/>
    <s v="TRK76931118"/>
    <n v="5"/>
    <m/>
    <s v="Google"/>
    <n v="1939.02"/>
  </r>
  <r>
    <x v="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x v="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x v="654"/>
    <x v="439"/>
    <s v="C62661"/>
    <s v="Tablet"/>
    <n v="3"/>
    <n v="382.37"/>
    <s v="863 Main St"/>
    <s v="Debit Card"/>
    <s v="Returned"/>
    <s v="TRK25748100"/>
    <n v="8"/>
    <m/>
    <s v="Instagram"/>
    <n v="1147.1099999999999"/>
  </r>
  <r>
    <x v="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x v="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x v="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x v="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x v="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x v="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x v="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x v="662"/>
    <x v="423"/>
    <s v="C98332"/>
    <s v="Laptop"/>
    <n v="3"/>
    <n v="438.89"/>
    <s v="985 Main St"/>
    <s v="Cash"/>
    <s v="Returned"/>
    <s v="TRK85744797"/>
    <n v="3"/>
    <m/>
    <s v="Facebook"/>
    <n v="1316.67"/>
  </r>
  <r>
    <x v="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x v="664"/>
    <x v="36"/>
    <s v="C14847"/>
    <s v="Laptop"/>
    <n v="4"/>
    <n v="194.75"/>
    <s v="188 Main St"/>
    <s v="Cash"/>
    <s v="Shipped"/>
    <s v="TRK46492755"/>
    <n v="5"/>
    <m/>
    <s v="Facebook"/>
    <n v="779"/>
  </r>
  <r>
    <x v="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x v="666"/>
    <x v="169"/>
    <s v="C35711"/>
    <s v="Monitor"/>
    <n v="4"/>
    <n v="327.12"/>
    <s v="788 Main St"/>
    <s v="Credit Card"/>
    <s v="Cancelled"/>
    <s v="TRK45281495"/>
    <n v="4"/>
    <m/>
    <s v="Email"/>
    <n v="1308.48"/>
  </r>
  <r>
    <x v="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x v="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x v="669"/>
    <x v="483"/>
    <s v="C60547"/>
    <s v="Desk"/>
    <n v="1"/>
    <n v="257"/>
    <s v="812 Main St"/>
    <s v="Debit Card"/>
    <s v="Cancelled"/>
    <s v="TRK65694249"/>
    <n v="5"/>
    <m/>
    <s v="Referral"/>
    <n v="257"/>
  </r>
  <r>
    <x v="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x v="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x v="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x v="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x v="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x v="675"/>
    <x v="76"/>
    <s v="C97749"/>
    <s v="Desk"/>
    <n v="3"/>
    <n v="342.02"/>
    <s v="906 Main St"/>
    <s v="Debit Card"/>
    <s v="Pending"/>
    <s v="TRK90233116"/>
    <n v="5"/>
    <m/>
    <s v="Email"/>
    <n v="1026.06"/>
  </r>
  <r>
    <x v="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x v="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x v="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x v="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x v="680"/>
    <x v="183"/>
    <s v="C16702"/>
    <s v="Monitor"/>
    <n v="3"/>
    <n v="463.39"/>
    <s v="694 Main St"/>
    <s v="Credit Card"/>
    <s v="Returned"/>
    <s v="TRK16953491"/>
    <n v="3"/>
    <m/>
    <s v="Facebook"/>
    <n v="1390.17"/>
  </r>
  <r>
    <x v="681"/>
    <x v="489"/>
    <s v="C38262"/>
    <s v="Tablet"/>
    <n v="1"/>
    <n v="155.27000000000001"/>
    <s v="548 Main St"/>
    <s v="Debit Card"/>
    <s v="Shipped"/>
    <s v="TRK47300502"/>
    <n v="6"/>
    <m/>
    <s v="Email"/>
    <n v="155.27000000000001"/>
  </r>
  <r>
    <x v="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x v="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x v="684"/>
    <x v="491"/>
    <s v="C96583"/>
    <s v="Printer"/>
    <n v="4"/>
    <n v="34.840000000000003"/>
    <s v="288 Main St"/>
    <s v="Credit Card"/>
    <s v="Shipped"/>
    <s v="TRK64353241"/>
    <n v="8"/>
    <m/>
    <s v="Email"/>
    <n v="139.36000000000001"/>
  </r>
  <r>
    <x v="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x v="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x v="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x v="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x v="689"/>
    <x v="193"/>
    <s v="C13186"/>
    <s v="Tablet"/>
    <n v="2"/>
    <n v="444.84"/>
    <s v="787 Main St"/>
    <s v="Online"/>
    <s v="Shipped"/>
    <s v="TRK56967415"/>
    <n v="7"/>
    <m/>
    <s v="Facebook"/>
    <n v="889.68"/>
  </r>
  <r>
    <x v="690"/>
    <x v="494"/>
    <s v="C29318"/>
    <s v="Monitor"/>
    <n v="1"/>
    <n v="24.48"/>
    <s v="128 Main St"/>
    <s v="Gift Card"/>
    <s v="Returned"/>
    <s v="TRK88666721"/>
    <n v="1"/>
    <m/>
    <s v="Instagram"/>
    <n v="24.48"/>
  </r>
  <r>
    <x v="691"/>
    <x v="167"/>
    <s v="C36137"/>
    <s v="Laptop"/>
    <n v="3"/>
    <n v="239.08"/>
    <s v="396 Main St"/>
    <s v="Cash"/>
    <s v="Shipped"/>
    <s v="TRK57376416"/>
    <n v="8"/>
    <m/>
    <s v="Google"/>
    <n v="717.24"/>
  </r>
  <r>
    <x v="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x v="693"/>
    <x v="495"/>
    <s v="C62070"/>
    <s v="Monitor"/>
    <n v="1"/>
    <n v="176.58"/>
    <s v="674 Main St"/>
    <s v="Debit Card"/>
    <s v="Returned"/>
    <s v="TRK10267127"/>
    <n v="4"/>
    <m/>
    <s v="Referral"/>
    <n v="176.58"/>
  </r>
  <r>
    <x v="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x v="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x v="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x v="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x v="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x v="699"/>
    <x v="497"/>
    <s v="C36813"/>
    <s v="Laptop"/>
    <n v="3"/>
    <n v="614.15"/>
    <s v="897 Main St"/>
    <s v="Gift Card"/>
    <s v="Cancelled"/>
    <s v="TRK84088900"/>
    <n v="3"/>
    <m/>
    <s v="Facebook"/>
    <n v="1842.45"/>
  </r>
  <r>
    <x v="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x v="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x v="702"/>
    <x v="410"/>
    <s v="C33315"/>
    <s v="Printer"/>
    <n v="3"/>
    <n v="562.54999999999995"/>
    <s v="154 Main St"/>
    <s v="Debit Card"/>
    <s v="Returned"/>
    <s v="TRK43589369"/>
    <n v="6"/>
    <m/>
    <s v="Email"/>
    <n v="1687.65"/>
  </r>
  <r>
    <x v="703"/>
    <x v="500"/>
    <s v="C89336"/>
    <s v="Desk"/>
    <n v="1"/>
    <n v="92.79"/>
    <s v="799 Main St"/>
    <s v="Cash"/>
    <s v="Pending"/>
    <s v="TRK47665103"/>
    <n v="3"/>
    <s v="WINTER15"/>
    <s v="Email"/>
    <n v="92.79"/>
  </r>
  <r>
    <x v="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x v="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x v="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x v="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x v="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x v="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x v="710"/>
    <x v="319"/>
    <s v="C48790"/>
    <s v="Laptop"/>
    <n v="5"/>
    <n v="21.54"/>
    <s v="113 Main St"/>
    <s v="Gift Card"/>
    <s v="Returned"/>
    <s v="TRK19086608"/>
    <n v="10"/>
    <m/>
    <s v="Google"/>
    <n v="107.7"/>
  </r>
  <r>
    <x v="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x v="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x v="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x v="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x v="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x v="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x v="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x v="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x v="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x v="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x v="721"/>
    <x v="508"/>
    <s v="C46557"/>
    <s v="Desk"/>
    <n v="2"/>
    <n v="118.59"/>
    <s v="890 Main St"/>
    <s v="Credit Card"/>
    <s v="Delivered"/>
    <s v="TRK56110689"/>
    <n v="2"/>
    <m/>
    <s v="Email"/>
    <n v="237.18"/>
  </r>
  <r>
    <x v="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x v="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x v="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x v="725"/>
    <x v="255"/>
    <s v="C95269"/>
    <s v="Chair"/>
    <n v="2"/>
    <n v="194.85"/>
    <s v="372 Main St"/>
    <s v="Gift Card"/>
    <s v="Returned"/>
    <s v="TRK45670926"/>
    <n v="5"/>
    <m/>
    <s v="Referral"/>
    <n v="389.7"/>
  </r>
  <r>
    <x v="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x v="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x v="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x v="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x v="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x v="731"/>
    <x v="267"/>
    <s v="C71310"/>
    <s v="Printer"/>
    <n v="5"/>
    <n v="584.46"/>
    <s v="308 Main St"/>
    <s v="Credit Card"/>
    <s v="Returned"/>
    <s v="TRK48292586"/>
    <n v="8"/>
    <m/>
    <s v="Email"/>
    <n v="2922.3"/>
  </r>
  <r>
    <x v="732"/>
    <x v="456"/>
    <s v="C80987"/>
    <s v="Laptop"/>
    <n v="1"/>
    <n v="132.05000000000001"/>
    <s v="787 Main St"/>
    <s v="Online"/>
    <s v="Delivered"/>
    <s v="TRK42187776"/>
    <n v="2"/>
    <m/>
    <s v="Google"/>
    <n v="132.05000000000001"/>
  </r>
  <r>
    <x v="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x v="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x v="735"/>
    <x v="515"/>
    <s v="C94508"/>
    <s v="Monitor"/>
    <n v="4"/>
    <n v="44.07"/>
    <s v="359 Main St"/>
    <s v="Debit Card"/>
    <s v="Pending"/>
    <s v="TRK13443264"/>
    <n v="6"/>
    <m/>
    <s v="Email"/>
    <n v="176.28"/>
  </r>
  <r>
    <x v="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x v="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x v="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x v="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x v="740"/>
    <x v="351"/>
    <s v="C10892"/>
    <s v="Desk"/>
    <n v="2"/>
    <n v="377.47"/>
    <s v="433 Main St"/>
    <s v="Cash"/>
    <s v="Pending"/>
    <s v="TRK76154554"/>
    <n v="7"/>
    <m/>
    <s v="Google"/>
    <n v="754.94"/>
  </r>
  <r>
    <x v="741"/>
    <x v="185"/>
    <s v="C99683"/>
    <s v="Monitor"/>
    <n v="5"/>
    <n v="332.64"/>
    <s v="945 Main St"/>
    <s v="Gift Card"/>
    <s v="Delivered"/>
    <s v="TRK87305883"/>
    <n v="10"/>
    <m/>
    <s v="Referral"/>
    <n v="1663.2"/>
  </r>
  <r>
    <x v="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x v="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x v="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x v="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x v="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x v="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x v="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x v="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x v="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x v="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x v="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x v="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x v="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x v="755"/>
    <x v="527"/>
    <s v="C54160"/>
    <s v="Desk"/>
    <n v="3"/>
    <n v="336.71"/>
    <s v="658 Main St"/>
    <s v="Credit Card"/>
    <s v="Pending"/>
    <s v="TRK60515972"/>
    <n v="4"/>
    <m/>
    <s v="Email"/>
    <n v="1010.13"/>
  </r>
  <r>
    <x v="756"/>
    <x v="326"/>
    <s v="C14080"/>
    <s v="Phone"/>
    <n v="1"/>
    <n v="283.69"/>
    <s v="202 Main St"/>
    <s v="Gift Card"/>
    <s v="Shipped"/>
    <s v="TRK93163682"/>
    <n v="6"/>
    <m/>
    <s v="Google"/>
    <n v="283.69"/>
  </r>
  <r>
    <x v="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x v="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x v="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x v="760"/>
    <x v="403"/>
    <s v="C96636"/>
    <s v="Desk"/>
    <n v="1"/>
    <n v="39.56"/>
    <s v="283 Main St"/>
    <s v="Debit Card"/>
    <s v="Cancelled"/>
    <s v="TRK73324346"/>
    <n v="5"/>
    <m/>
    <s v="Google"/>
    <n v="39.56"/>
  </r>
  <r>
    <x v="761"/>
    <x v="454"/>
    <s v="C37235"/>
    <s v="Desk"/>
    <n v="4"/>
    <n v="37.76"/>
    <s v="217 Main St"/>
    <s v="Debit Card"/>
    <s v="Delivered"/>
    <s v="TRK67789367"/>
    <n v="7"/>
    <m/>
    <s v="Google"/>
    <n v="151.04"/>
  </r>
  <r>
    <x v="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x v="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x v="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x v="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x v="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x v="767"/>
    <x v="479"/>
    <s v="C19368"/>
    <s v="Tablet"/>
    <n v="2"/>
    <n v="323.22000000000003"/>
    <s v="517 Main St"/>
    <s v="Credit Card"/>
    <s v="Delivered"/>
    <s v="TRK80436037"/>
    <n v="7"/>
    <m/>
    <s v="Instagram"/>
    <n v="646.44000000000005"/>
  </r>
  <r>
    <x v="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x v="769"/>
    <x v="117"/>
    <s v="C13366"/>
    <s v="Printer"/>
    <n v="4"/>
    <n v="678.55"/>
    <s v="568 Main St"/>
    <s v="Cash"/>
    <s v="Delivered"/>
    <s v="TRK98691410"/>
    <n v="5"/>
    <m/>
    <s v="Email"/>
    <n v="2714.2"/>
  </r>
  <r>
    <x v="770"/>
    <x v="530"/>
    <s v="C72166"/>
    <s v="Desk"/>
    <n v="1"/>
    <n v="314.38"/>
    <s v="227 Main St"/>
    <s v="Online"/>
    <s v="Returned"/>
    <s v="TRK67733444"/>
    <n v="6"/>
    <m/>
    <s v="Google"/>
    <n v="314.38"/>
  </r>
  <r>
    <x v="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x v="772"/>
    <x v="118"/>
    <s v="C33802"/>
    <s v="Monitor"/>
    <n v="1"/>
    <n v="604.87"/>
    <s v="461 Main St"/>
    <s v="Online"/>
    <s v="Delivered"/>
    <s v="TRK25799478"/>
    <n v="4"/>
    <m/>
    <s v="Instagram"/>
    <n v="604.87"/>
  </r>
  <r>
    <x v="773"/>
    <x v="164"/>
    <s v="C99205"/>
    <s v="Phone"/>
    <n v="2"/>
    <n v="512.33000000000004"/>
    <s v="415 Main St"/>
    <s v="Cash"/>
    <s v="Cancelled"/>
    <s v="TRK48904015"/>
    <n v="7"/>
    <m/>
    <s v="Facebook"/>
    <n v="1024.6600000000001"/>
  </r>
  <r>
    <x v="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x v="775"/>
    <x v="190"/>
    <s v="C73941"/>
    <s v="Phone"/>
    <n v="2"/>
    <n v="625.22"/>
    <s v="569 Main St"/>
    <s v="Online"/>
    <s v="Cancelled"/>
    <s v="TRK22051900"/>
    <n v="5"/>
    <m/>
    <s v="Google"/>
    <n v="1250.44"/>
  </r>
  <r>
    <x v="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x v="777"/>
    <x v="438"/>
    <s v="C66116"/>
    <s v="Chair"/>
    <n v="5"/>
    <n v="64.489999999999995"/>
    <s v="633 Main St"/>
    <s v="Online"/>
    <s v="Cancelled"/>
    <s v="TRK41967983"/>
    <n v="7"/>
    <m/>
    <s v="Facebook"/>
    <n v="322.45"/>
  </r>
  <r>
    <x v="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x v="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x v="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x v="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x v="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x v="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x v="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x v="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x v="786"/>
    <x v="421"/>
    <s v="C39130"/>
    <s v="Chair"/>
    <n v="5"/>
    <n v="45.31"/>
    <s v="774 Main St"/>
    <s v="Online"/>
    <s v="Cancelled"/>
    <s v="TRK99583414"/>
    <n v="8"/>
    <m/>
    <s v="Referral"/>
    <n v="226.55"/>
  </r>
  <r>
    <x v="787"/>
    <x v="537"/>
    <s v="C18167"/>
    <s v="Desk"/>
    <n v="4"/>
    <n v="221.96"/>
    <s v="193 Main St"/>
    <s v="Cash"/>
    <s v="Delivered"/>
    <s v="TRK36841089"/>
    <n v="7"/>
    <m/>
    <s v="Google"/>
    <n v="887.84"/>
  </r>
  <r>
    <x v="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x v="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x v="790"/>
    <x v="154"/>
    <s v="C38928"/>
    <s v="Laptop"/>
    <n v="4"/>
    <n v="417.89"/>
    <s v="302 Main St"/>
    <s v="Gift Card"/>
    <s v="Pending"/>
    <s v="TRK96636009"/>
    <n v="4"/>
    <m/>
    <s v="Google"/>
    <n v="1671.56"/>
  </r>
  <r>
    <x v="791"/>
    <x v="539"/>
    <s v="C49710"/>
    <s v="Chair"/>
    <n v="4"/>
    <n v="409.28"/>
    <s v="956 Main St"/>
    <s v="Cash"/>
    <s v="Pending"/>
    <s v="TRK92591237"/>
    <n v="8"/>
    <m/>
    <s v="Email"/>
    <n v="1637.12"/>
  </r>
  <r>
    <x v="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x v="793"/>
    <x v="116"/>
    <s v="C91255"/>
    <s v="Chair"/>
    <n v="5"/>
    <n v="170.22"/>
    <s v="769 Main St"/>
    <s v="Debit Card"/>
    <s v="Delivered"/>
    <s v="TRK69599961"/>
    <n v="8"/>
    <m/>
    <s v="Referral"/>
    <n v="851.1"/>
  </r>
  <r>
    <x v="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x v="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x v="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x v="797"/>
    <x v="146"/>
    <s v="C36825"/>
    <s v="Laptop"/>
    <n v="2"/>
    <n v="438.76"/>
    <s v="426 Main St"/>
    <s v="Debit Card"/>
    <s v="Returned"/>
    <s v="TRK72557318"/>
    <n v="2"/>
    <m/>
    <s v="Facebook"/>
    <n v="877.52"/>
  </r>
  <r>
    <x v="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x v="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x v="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x v="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x v="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x v="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x v="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x v="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x v="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x v="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x v="808"/>
    <x v="545"/>
    <s v="C65565"/>
    <s v="Desk"/>
    <n v="3"/>
    <n v="134.05000000000001"/>
    <s v="192 Main St"/>
    <s v="Credit Card"/>
    <s v="Shipped"/>
    <s v="TRK80383756"/>
    <n v="3"/>
    <m/>
    <s v="Google"/>
    <n v="402.15"/>
  </r>
  <r>
    <x v="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x v="810"/>
    <x v="546"/>
    <s v="C23637"/>
    <s v="Tablet"/>
    <n v="1"/>
    <n v="553.55999999999995"/>
    <s v="644 Main St"/>
    <s v="Credit Card"/>
    <s v="Cancelled"/>
    <s v="TRK16749863"/>
    <n v="5"/>
    <m/>
    <s v="Referral"/>
    <n v="553.55999999999995"/>
  </r>
  <r>
    <x v="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x v="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x v="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x v="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x v="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x v="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x v="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x v="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x v="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x v="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x v="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x v="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x v="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x v="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x v="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x v="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x v="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x v="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x v="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x v="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x v="831"/>
    <x v="552"/>
    <s v="C20124"/>
    <s v="Printer"/>
    <n v="2"/>
    <n v="88.73"/>
    <s v="140 Main St"/>
    <s v="Online"/>
    <s v="Pending"/>
    <s v="TRK61346824"/>
    <n v="5"/>
    <m/>
    <s v="Google"/>
    <n v="177.46"/>
  </r>
  <r>
    <x v="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x v="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x v="834"/>
    <x v="166"/>
    <s v="C98483"/>
    <s v="Printer"/>
    <n v="5"/>
    <n v="22.14"/>
    <s v="456 Main St"/>
    <s v="Cash"/>
    <s v="Returned"/>
    <s v="TRK22084320"/>
    <n v="10"/>
    <m/>
    <s v="Instagram"/>
    <n v="110.7"/>
  </r>
  <r>
    <x v="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x v="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x v="837"/>
    <x v="554"/>
    <s v="C88029"/>
    <s v="Chair"/>
    <n v="5"/>
    <n v="655.55"/>
    <s v="282 Main St"/>
    <s v="Online"/>
    <s v="Delivered"/>
    <s v="TRK59701278"/>
    <n v="5"/>
    <m/>
    <s v="Email"/>
    <n v="3277.75"/>
  </r>
  <r>
    <x v="838"/>
    <x v="166"/>
    <s v="C57798"/>
    <s v="Desk"/>
    <n v="4"/>
    <n v="577.08000000000004"/>
    <s v="384 Main St"/>
    <s v="Online"/>
    <s v="Pending"/>
    <s v="TRK68797566"/>
    <n v="8"/>
    <m/>
    <s v="Facebook"/>
    <n v="2308.3200000000002"/>
  </r>
  <r>
    <x v="839"/>
    <x v="318"/>
    <s v="C82858"/>
    <s v="Chair"/>
    <n v="3"/>
    <n v="197.97"/>
    <s v="551 Main St"/>
    <s v="Online"/>
    <s v="Cancelled"/>
    <s v="TRK90618490"/>
    <n v="5"/>
    <m/>
    <s v="Google"/>
    <n v="593.91"/>
  </r>
  <r>
    <x v="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x v="841"/>
    <x v="556"/>
    <s v="C94658"/>
    <s v="Printer"/>
    <n v="2"/>
    <n v="443.22"/>
    <s v="742 Main St"/>
    <s v="Credit Card"/>
    <s v="Delivered"/>
    <s v="TRK51732528"/>
    <n v="5"/>
    <m/>
    <s v="Facebook"/>
    <n v="886.44"/>
  </r>
  <r>
    <x v="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x v="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x v="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x v="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x v="846"/>
    <x v="502"/>
    <s v="C24765"/>
    <s v="Desk"/>
    <n v="2"/>
    <n v="359.86"/>
    <s v="646 Main St"/>
    <s v="Debit Card"/>
    <s v="Cancelled"/>
    <s v="TRK43977698"/>
    <n v="4"/>
    <m/>
    <s v="Referral"/>
    <n v="719.72"/>
  </r>
  <r>
    <x v="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x v="848"/>
    <x v="107"/>
    <s v="C54675"/>
    <s v="Chair"/>
    <n v="2"/>
    <n v="645.85"/>
    <s v="634 Main St"/>
    <s v="Online"/>
    <s v="Shipped"/>
    <s v="TRK18049633"/>
    <n v="5"/>
    <m/>
    <s v="Referral"/>
    <n v="1291.7"/>
  </r>
  <r>
    <x v="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x v="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x v="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x v="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x v="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x v="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x v="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x v="856"/>
    <x v="561"/>
    <s v="C94698"/>
    <s v="Phone"/>
    <n v="1"/>
    <n v="586.62"/>
    <s v="871 Main St"/>
    <s v="Debit Card"/>
    <s v="Shipped"/>
    <s v="TRK95768773"/>
    <n v="5"/>
    <m/>
    <s v="Facebook"/>
    <n v="586.62"/>
  </r>
  <r>
    <x v="857"/>
    <x v="416"/>
    <s v="C56506"/>
    <s v="Phone"/>
    <n v="3"/>
    <n v="257.83999999999997"/>
    <s v="185 Main St"/>
    <s v="Online"/>
    <s v="Delivered"/>
    <s v="TRK86808324"/>
    <n v="4"/>
    <m/>
    <s v="Instagram"/>
    <n v="773.52"/>
  </r>
  <r>
    <x v="858"/>
    <x v="38"/>
    <s v="C22167"/>
    <s v="Tablet"/>
    <n v="5"/>
    <n v="435.66"/>
    <s v="891 Main St"/>
    <s v="Online"/>
    <s v="Pending"/>
    <s v="TRK70269748"/>
    <n v="9"/>
    <m/>
    <s v="Facebook"/>
    <n v="2178.3000000000002"/>
  </r>
  <r>
    <x v="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x v="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x v="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x v="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x v="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x v="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x v="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x v="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x v="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x v="868"/>
    <x v="310"/>
    <s v="C70452"/>
    <s v="Monitor"/>
    <n v="4"/>
    <n v="316.32"/>
    <s v="309 Main St"/>
    <s v="Debit Card"/>
    <s v="Delivered"/>
    <s v="TRK42985882"/>
    <n v="7"/>
    <m/>
    <s v="Facebook"/>
    <n v="1265.28"/>
  </r>
  <r>
    <x v="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x v="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x v="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x v="872"/>
    <x v="566"/>
    <s v="C59169"/>
    <s v="Chair"/>
    <n v="4"/>
    <n v="629.34"/>
    <s v="172 Main St"/>
    <s v="Cash"/>
    <s v="Shipped"/>
    <s v="TRK90883858"/>
    <n v="7"/>
    <m/>
    <s v="Email"/>
    <n v="2517.36"/>
  </r>
  <r>
    <x v="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x v="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x v="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x v="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x v="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x v="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x v="879"/>
    <x v="428"/>
    <s v="C56622"/>
    <s v="Phone"/>
    <n v="2"/>
    <n v="547.66999999999996"/>
    <s v="932 Main St"/>
    <s v="Gift Card"/>
    <s v="Shipped"/>
    <s v="TRK86373987"/>
    <n v="3"/>
    <m/>
    <s v="Instagram"/>
    <n v="1095.3399999999999"/>
  </r>
  <r>
    <x v="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x v="881"/>
    <x v="570"/>
    <s v="C59579"/>
    <s v="Tablet"/>
    <n v="2"/>
    <n v="448.85"/>
    <s v="386 Main St"/>
    <s v="Credit Card"/>
    <s v="Pending"/>
    <s v="TRK48000034"/>
    <n v="6"/>
    <m/>
    <s v="Instagram"/>
    <n v="897.7"/>
  </r>
  <r>
    <x v="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x v="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x v="884"/>
    <x v="571"/>
    <s v="C71471"/>
    <s v="Chair"/>
    <n v="1"/>
    <n v="595.54"/>
    <s v="817 Main St"/>
    <s v="Gift Card"/>
    <s v="Shipped"/>
    <s v="TRK52137079"/>
    <n v="4"/>
    <m/>
    <s v="Instagram"/>
    <n v="595.54"/>
  </r>
  <r>
    <x v="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x v="886"/>
    <x v="385"/>
    <s v="C29620"/>
    <s v="Phone"/>
    <n v="1"/>
    <n v="460.13"/>
    <s v="792 Main St"/>
    <s v="Credit Card"/>
    <s v="Returned"/>
    <s v="TRK22046456"/>
    <n v="1"/>
    <m/>
    <s v="Google"/>
    <n v="460.13"/>
  </r>
  <r>
    <x v="887"/>
    <x v="36"/>
    <s v="C67932"/>
    <s v="Chair"/>
    <n v="3"/>
    <n v="171.66"/>
    <s v="857 Main St"/>
    <s v="Debit Card"/>
    <s v="Delivered"/>
    <s v="TRK88547534"/>
    <n v="7"/>
    <m/>
    <s v="Google"/>
    <n v="514.98"/>
  </r>
  <r>
    <x v="888"/>
    <x v="572"/>
    <s v="C14427"/>
    <s v="Laptop"/>
    <n v="2"/>
    <n v="266.95"/>
    <s v="833 Main St"/>
    <s v="Credit Card"/>
    <s v="Pending"/>
    <s v="TRK58024529"/>
    <n v="3"/>
    <m/>
    <s v="Instagram"/>
    <n v="533.9"/>
  </r>
  <r>
    <x v="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x v="890"/>
    <x v="178"/>
    <s v="C51921"/>
    <s v="Laptop"/>
    <n v="3"/>
    <n v="439.53"/>
    <s v="943 Main St"/>
    <s v="Debit Card"/>
    <s v="Pending"/>
    <s v="TRK85741716"/>
    <n v="5"/>
    <m/>
    <s v="Google"/>
    <n v="1318.59"/>
  </r>
  <r>
    <x v="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x v="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x v="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x v="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x v="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x v="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x v="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x v="898"/>
    <x v="376"/>
    <s v="C44619"/>
    <s v="Monitor"/>
    <n v="3"/>
    <n v="158.37"/>
    <s v="742 Main St"/>
    <s v="Cash"/>
    <s v="Shipped"/>
    <s v="TRK66662528"/>
    <n v="6"/>
    <m/>
    <s v="Referral"/>
    <n v="475.11"/>
  </r>
  <r>
    <x v="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x v="900"/>
    <x v="492"/>
    <s v="C52342"/>
    <s v="Laptop"/>
    <n v="5"/>
    <n v="73.83"/>
    <s v="991 Main St"/>
    <s v="Debit Card"/>
    <s v="Pending"/>
    <s v="TRK67342586"/>
    <n v="9"/>
    <m/>
    <s v="Instagram"/>
    <n v="369.15"/>
  </r>
  <r>
    <x v="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x v="902"/>
    <x v="579"/>
    <s v="C61162"/>
    <s v="Monitor"/>
    <n v="4"/>
    <n v="180.25"/>
    <s v="813 Main St"/>
    <s v="Debit Card"/>
    <s v="Cancelled"/>
    <s v="TRK76712124"/>
    <n v="7"/>
    <m/>
    <s v="Facebook"/>
    <n v="721"/>
  </r>
  <r>
    <x v="903"/>
    <x v="209"/>
    <s v="C80868"/>
    <s v="Monitor"/>
    <n v="3"/>
    <n v="473.49"/>
    <s v="205 Main St"/>
    <s v="Credit Card"/>
    <s v="Pending"/>
    <s v="TRK56186636"/>
    <n v="7"/>
    <m/>
    <s v="Email"/>
    <n v="1420.47"/>
  </r>
  <r>
    <x v="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x v="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x v="906"/>
    <x v="459"/>
    <s v="C49938"/>
    <s v="Monitor"/>
    <n v="1"/>
    <n v="62.12"/>
    <s v="141 Main St"/>
    <s v="Cash"/>
    <s v="Returned"/>
    <s v="TRK80175572"/>
    <n v="2"/>
    <m/>
    <s v="Email"/>
    <n v="62.12"/>
  </r>
  <r>
    <x v="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x v="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x v="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x v="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x v="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x v="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x v="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x v="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x v="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x v="916"/>
    <x v="587"/>
    <s v="C35669"/>
    <s v="Printer"/>
    <n v="5"/>
    <n v="578.83000000000004"/>
    <s v="165 Main St"/>
    <s v="Cash"/>
    <s v="Returned"/>
    <s v="TRK13928455"/>
    <n v="6"/>
    <m/>
    <s v="Referral"/>
    <n v="2894.15"/>
  </r>
  <r>
    <x v="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x v="918"/>
    <x v="53"/>
    <s v="C74359"/>
    <s v="Laptop"/>
    <n v="5"/>
    <n v="368.25"/>
    <s v="706 Main St"/>
    <s v="Online"/>
    <s v="Delivered"/>
    <s v="TRK18250450"/>
    <n v="5"/>
    <m/>
    <s v="Instagram"/>
    <n v="1841.25"/>
  </r>
  <r>
    <x v="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x v="920"/>
    <x v="495"/>
    <s v="C26137"/>
    <s v="Tablet"/>
    <n v="2"/>
    <n v="428.09"/>
    <s v="978 Main St"/>
    <s v="Credit Card"/>
    <s v="Returned"/>
    <s v="TRK98110407"/>
    <n v="6"/>
    <m/>
    <s v="Instagram"/>
    <n v="856.18"/>
  </r>
  <r>
    <x v="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x v="922"/>
    <x v="589"/>
    <s v="C81857"/>
    <s v="Desk"/>
    <n v="2"/>
    <n v="563.82000000000005"/>
    <s v="487 Main St"/>
    <s v="Credit Card"/>
    <s v="Pending"/>
    <s v="TRK79737732"/>
    <n v="3"/>
    <m/>
    <s v="Instagram"/>
    <n v="1127.6400000000001"/>
  </r>
  <r>
    <x v="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x v="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x v="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x v="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x v="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x v="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x v="929"/>
    <x v="594"/>
    <s v="C67936"/>
    <s v="Tablet"/>
    <n v="2"/>
    <n v="536.25"/>
    <s v="553 Main St"/>
    <s v="Debit Card"/>
    <s v="Pending"/>
    <s v="TRK71803414"/>
    <n v="3"/>
    <m/>
    <s v="Email"/>
    <n v="1072.5"/>
  </r>
  <r>
    <x v="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x v="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x v="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x v="933"/>
    <x v="595"/>
    <s v="C59685"/>
    <s v="Monitor"/>
    <n v="2"/>
    <n v="394.16"/>
    <s v="255 Main St"/>
    <s v="Online"/>
    <s v="Shipped"/>
    <s v="TRK43718093"/>
    <n v="2"/>
    <m/>
    <s v="Referral"/>
    <n v="788.32"/>
  </r>
  <r>
    <x v="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x v="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x v="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x v="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x v="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x v="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x v="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x v="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x v="942"/>
    <x v="372"/>
    <s v="C17591"/>
    <s v="Tablet"/>
    <n v="1"/>
    <n v="479.76"/>
    <s v="882 Main St"/>
    <s v="Credit Card"/>
    <s v="Pending"/>
    <s v="TRK56070470"/>
    <n v="1"/>
    <m/>
    <s v="Email"/>
    <n v="479.76"/>
  </r>
  <r>
    <x v="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x v="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x v="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x v="946"/>
    <x v="598"/>
    <s v="C65021"/>
    <s v="Phone"/>
    <n v="2"/>
    <n v="404.96"/>
    <s v="546 Main St"/>
    <s v="Cash"/>
    <s v="Shipped"/>
    <s v="TRK20626179"/>
    <n v="4"/>
    <s v="SAVE10"/>
    <s v="Email"/>
    <n v="809.92"/>
  </r>
  <r>
    <x v="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x v="948"/>
    <x v="587"/>
    <s v="C94569"/>
    <s v="Phone"/>
    <n v="2"/>
    <n v="594.07000000000005"/>
    <s v="739 Main St"/>
    <s v="Gift Card"/>
    <s v="Cancelled"/>
    <s v="TRK79269291"/>
    <n v="2"/>
    <m/>
    <s v="Google"/>
    <n v="1188.1400000000001"/>
  </r>
  <r>
    <x v="949"/>
    <x v="576"/>
    <s v="C55778"/>
    <s v="Desk"/>
    <n v="5"/>
    <n v="110.38"/>
    <s v="319 Main St"/>
    <s v="Cash"/>
    <s v="Pending"/>
    <s v="TRK93797108"/>
    <n v="10"/>
    <m/>
    <s v="Referral"/>
    <n v="551.9"/>
  </r>
  <r>
    <x v="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x v="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x v="952"/>
    <x v="37"/>
    <s v="C49111"/>
    <s v="Monitor"/>
    <n v="3"/>
    <n v="503.39"/>
    <s v="225 Main St"/>
    <s v="Online"/>
    <s v="Pending"/>
    <s v="TRK45303393"/>
    <n v="5"/>
    <m/>
    <s v="Facebook"/>
    <n v="1510.17"/>
  </r>
  <r>
    <x v="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x v="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x v="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x v="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x v="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x v="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x v="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x v="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x v="961"/>
    <x v="435"/>
    <s v="C55464"/>
    <s v="Phone"/>
    <n v="1"/>
    <n v="601.36"/>
    <s v="532 Main St"/>
    <s v="Online"/>
    <s v="Shipped"/>
    <s v="TRK81178598"/>
    <n v="1"/>
    <m/>
    <s v="Facebook"/>
    <n v="601.36"/>
  </r>
  <r>
    <x v="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x v="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x v="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x v="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x v="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x v="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x v="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x v="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x v="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x v="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x v="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x v="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x v="974"/>
    <x v="610"/>
    <s v="C30722"/>
    <s v="Desk"/>
    <n v="5"/>
    <n v="266.77999999999997"/>
    <s v="274 Main St"/>
    <s v="Gift Card"/>
    <s v="Cancelled"/>
    <s v="TRK52088168"/>
    <n v="5"/>
    <m/>
    <s v="Email"/>
    <n v="1333.9"/>
  </r>
  <r>
    <x v="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x v="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x v="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x v="978"/>
    <x v="611"/>
    <s v="C41508"/>
    <s v="Printer"/>
    <n v="4"/>
    <n v="107.49"/>
    <s v="993 Main St"/>
    <s v="Cash"/>
    <s v="Delivered"/>
    <s v="TRK61047536"/>
    <n v="5"/>
    <m/>
    <s v="Google"/>
    <n v="429.96"/>
  </r>
  <r>
    <x v="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x v="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x v="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x v="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x v="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x v="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x v="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x v="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x v="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x v="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x v="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x v="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x v="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x v="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x v="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x v="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x v="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x v="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x v="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x v="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x v="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x v="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x v="1001"/>
    <x v="618"/>
    <s v="C31371"/>
    <s v="Printer"/>
    <n v="2"/>
    <n v="253.68"/>
    <s v="122 Main St"/>
    <s v="Gift Card"/>
    <s v="Shipped"/>
    <s v="TRK19554327"/>
    <n v="6"/>
    <m/>
    <s v="Referral"/>
    <n v="507.36"/>
  </r>
  <r>
    <x v="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x v="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x v="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x v="1005"/>
    <x v="521"/>
    <s v="C38065"/>
    <s v="Printer"/>
    <n v="3"/>
    <n v="392.85"/>
    <s v="426 Main St"/>
    <s v="Credit Card"/>
    <s v="Returned"/>
    <s v="TRK11448295"/>
    <n v="6"/>
    <m/>
    <s v="Google"/>
    <n v="1178.55"/>
  </r>
  <r>
    <x v="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x v="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x v="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x v="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x v="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x v="1011"/>
    <x v="623"/>
    <s v="C47823"/>
    <s v="Phone"/>
    <n v="2"/>
    <n v="478.36"/>
    <s v="654 Main St"/>
    <s v="Online"/>
    <s v="Shipped"/>
    <s v="TRK22271097"/>
    <n v="3"/>
    <m/>
    <s v="Google"/>
    <n v="956.72"/>
  </r>
  <r>
    <x v="1012"/>
    <x v="623"/>
    <s v="C84570"/>
    <s v="Printer"/>
    <n v="4"/>
    <n v="30.05"/>
    <s v="301 Main St"/>
    <s v="Online"/>
    <s v="Returned"/>
    <s v="TRK12551882"/>
    <n v="6"/>
    <m/>
    <s v="Facebook"/>
    <n v="120.2"/>
  </r>
  <r>
    <x v="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x v="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x v="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x v="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x v="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x v="1018"/>
    <x v="307"/>
    <s v="C77499"/>
    <s v="Laptop"/>
    <n v="3"/>
    <n v="182.48"/>
    <s v="209 Main St"/>
    <s v="Cash"/>
    <s v="Delivered"/>
    <s v="TRK20703086"/>
    <n v="3"/>
    <m/>
    <s v="Instagram"/>
    <n v="547.43999999999994"/>
  </r>
  <r>
    <x v="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x v="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x v="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x v="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x v="1023"/>
    <x v="296"/>
    <s v="C65251"/>
    <s v="Laptop"/>
    <n v="5"/>
    <n v="233.67"/>
    <s v="291 Main St"/>
    <s v="Cash"/>
    <s v="Shipped"/>
    <s v="TRK32059025"/>
    <n v="10"/>
    <m/>
    <s v="Referral"/>
    <n v="1168.3499999999999"/>
  </r>
  <r>
    <x v="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x v="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x v="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x v="1027"/>
    <x v="626"/>
    <s v="C93467"/>
    <s v="Laptop"/>
    <n v="4"/>
    <n v="554.83000000000004"/>
    <s v="983 Main St"/>
    <s v="Cash"/>
    <s v="Returned"/>
    <s v="TRK77377373"/>
    <n v="6"/>
    <m/>
    <s v="Google"/>
    <n v="2219.3200000000002"/>
  </r>
  <r>
    <x v="1028"/>
    <x v="96"/>
    <s v="C60042"/>
    <s v="Desk"/>
    <n v="4"/>
    <n v="440.31"/>
    <s v="610 Main St"/>
    <s v="Cash"/>
    <s v="Cancelled"/>
    <s v="TRK84651559"/>
    <n v="6"/>
    <m/>
    <s v="Instagram"/>
    <n v="1761.24"/>
  </r>
  <r>
    <x v="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x v="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x v="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x v="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x v="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x v="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x v="1035"/>
    <x v="629"/>
    <s v="C70315"/>
    <s v="Laptop"/>
    <n v="4"/>
    <n v="506.11"/>
    <s v="911 Main St"/>
    <s v="Cash"/>
    <s v="Cancelled"/>
    <s v="TRK97732085"/>
    <n v="5"/>
    <m/>
    <s v="Referral"/>
    <n v="2024.44"/>
  </r>
  <r>
    <x v="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x v="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x v="1038"/>
    <x v="175"/>
    <s v="C77961"/>
    <s v="Tablet"/>
    <n v="3"/>
    <n v="362.53"/>
    <s v="422 Main St"/>
    <s v="Debit Card"/>
    <s v="Returned"/>
    <s v="TRK28969024"/>
    <n v="5"/>
    <m/>
    <s v="Facebook"/>
    <n v="1087.5899999999999"/>
  </r>
  <r>
    <x v="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x v="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x v="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x v="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x v="1043"/>
    <x v="630"/>
    <s v="C43965"/>
    <s v="Tablet"/>
    <n v="2"/>
    <n v="179.96"/>
    <s v="675 Main St"/>
    <s v="Gift Card"/>
    <s v="Shipped"/>
    <s v="TRK94346739"/>
    <n v="5"/>
    <m/>
    <s v="Instagram"/>
    <n v="359.92"/>
  </r>
  <r>
    <x v="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x v="1045"/>
    <x v="28"/>
    <s v="C11893"/>
    <s v="Laptop"/>
    <n v="5"/>
    <n v="316.39999999999998"/>
    <s v="671 Main St"/>
    <s v="Gift Card"/>
    <s v="Returned"/>
    <s v="TRK72012758"/>
    <n v="7"/>
    <m/>
    <s v="Email"/>
    <n v="1582"/>
  </r>
  <r>
    <x v="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x v="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x v="1048"/>
    <x v="82"/>
    <s v="C57601"/>
    <s v="Monitor"/>
    <n v="4"/>
    <n v="73.650000000000006"/>
    <s v="889 Main St"/>
    <s v="Debit Card"/>
    <s v="Shipped"/>
    <s v="TRK21153699"/>
    <n v="9"/>
    <m/>
    <s v="Google"/>
    <n v="294.60000000000002"/>
  </r>
  <r>
    <x v="1049"/>
    <x v="408"/>
    <s v="C60575"/>
    <s v="Desk"/>
    <n v="5"/>
    <n v="391.86"/>
    <s v="587 Main St"/>
    <s v="Credit Card"/>
    <s v="Shipped"/>
    <s v="TRK44468232"/>
    <n v="6"/>
    <m/>
    <s v="Instagram"/>
    <n v="1959.3"/>
  </r>
  <r>
    <x v="1050"/>
    <x v="38"/>
    <s v="C70659"/>
    <s v="Laptop"/>
    <n v="5"/>
    <n v="69.7"/>
    <s v="722 Main St"/>
    <s v="Online"/>
    <s v="Returned"/>
    <s v="TRK49663597"/>
    <n v="9"/>
    <m/>
    <s v="Instagram"/>
    <n v="348.5"/>
  </r>
  <r>
    <x v="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x v="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x v="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x v="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x v="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x v="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x v="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x v="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x v="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x v="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x v="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x v="1062"/>
    <x v="421"/>
    <s v="C13501"/>
    <s v="Chair"/>
    <n v="5"/>
    <n v="85.52"/>
    <s v="301 Main St"/>
    <s v="Gift Card"/>
    <s v="Cancelled"/>
    <s v="TRK65149372"/>
    <n v="5"/>
    <m/>
    <s v="Facebook"/>
    <n v="427.6"/>
  </r>
  <r>
    <x v="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x v="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x v="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x v="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x v="1067"/>
    <x v="640"/>
    <s v="C78959"/>
    <s v="Phone"/>
    <n v="2"/>
    <n v="316.2"/>
    <s v="384 Main St"/>
    <s v="Online"/>
    <s v="Returned"/>
    <s v="TRK37426359"/>
    <n v="2"/>
    <m/>
    <s v="Instagram"/>
    <n v="632.4"/>
  </r>
  <r>
    <x v="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x v="1069"/>
    <x v="641"/>
    <s v="C70506"/>
    <s v="Monitor"/>
    <n v="1"/>
    <n v="454.23"/>
    <s v="255 Main St"/>
    <s v="Gift Card"/>
    <s v="Returned"/>
    <s v="TRK12518384"/>
    <n v="3"/>
    <m/>
    <s v="Facebook"/>
    <n v="454.23"/>
  </r>
  <r>
    <x v="1070"/>
    <x v="605"/>
    <s v="C46873"/>
    <s v="Desk"/>
    <n v="4"/>
    <n v="491.29"/>
    <s v="496 Main St"/>
    <s v="Debit Card"/>
    <s v="Pending"/>
    <s v="TRK10926575"/>
    <n v="6"/>
    <m/>
    <s v="Email"/>
    <n v="1965.16"/>
  </r>
  <r>
    <x v="1071"/>
    <x v="53"/>
    <s v="C94037"/>
    <s v="Phone"/>
    <n v="2"/>
    <n v="255.14"/>
    <s v="216 Main St"/>
    <s v="Cash"/>
    <s v="Shipped"/>
    <s v="TRK47536985"/>
    <n v="2"/>
    <m/>
    <s v="Google"/>
    <n v="510.28"/>
  </r>
  <r>
    <x v="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x v="1073"/>
    <x v="642"/>
    <s v="C69471"/>
    <s v="Tablet"/>
    <n v="4"/>
    <n v="362.06"/>
    <s v="294 Main St"/>
    <s v="Debit Card"/>
    <s v="Returned"/>
    <s v="TRK11107152"/>
    <n v="4"/>
    <m/>
    <s v="Facebook"/>
    <n v="1448.24"/>
  </r>
  <r>
    <x v="1074"/>
    <x v="451"/>
    <s v="C21437"/>
    <s v="Phone"/>
    <n v="1"/>
    <n v="222.73"/>
    <s v="120 Main St"/>
    <s v="Online"/>
    <s v="Returned"/>
    <s v="TRK81624772"/>
    <n v="4"/>
    <m/>
    <s v="Google"/>
    <n v="222.73"/>
  </r>
  <r>
    <x v="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x v="1076"/>
    <x v="20"/>
    <s v="C99116"/>
    <s v="Laptop"/>
    <n v="4"/>
    <n v="686.61"/>
    <s v="176 Main St"/>
    <s v="Cash"/>
    <s v="Shipped"/>
    <s v="TRK52711973"/>
    <n v="6"/>
    <m/>
    <s v="Referral"/>
    <n v="2746.44"/>
  </r>
  <r>
    <x v="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x v="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x v="1079"/>
    <x v="643"/>
    <s v="C89979"/>
    <s v="Phone"/>
    <n v="5"/>
    <n v="634"/>
    <s v="144 Main St"/>
    <s v="Gift Card"/>
    <s v="Delivered"/>
    <s v="TRK99055909"/>
    <n v="8"/>
    <m/>
    <s v="Email"/>
    <n v="3170"/>
  </r>
  <r>
    <x v="1080"/>
    <x v="325"/>
    <s v="C70613"/>
    <s v="Laptop"/>
    <n v="5"/>
    <n v="464.74"/>
    <s v="438 Main St"/>
    <s v="Gift Card"/>
    <s v="Delivered"/>
    <s v="TRK33140293"/>
    <n v="7"/>
    <m/>
    <s v="Referral"/>
    <n v="2323.6999999999998"/>
  </r>
  <r>
    <x v="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x v="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x v="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x v="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x v="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x v="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x v="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x v="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x v="1089"/>
    <x v="175"/>
    <s v="C13324"/>
    <s v="Tablet"/>
    <n v="2"/>
    <n v="599.74"/>
    <s v="440 Main St"/>
    <s v="Gift Card"/>
    <s v="Shipped"/>
    <s v="TRK66967997"/>
    <n v="2"/>
    <m/>
    <s v="Instagram"/>
    <n v="1199.48"/>
  </r>
  <r>
    <x v="1090"/>
    <x v="641"/>
    <s v="C61225"/>
    <s v="Monitor"/>
    <n v="2"/>
    <n v="650.25"/>
    <s v="996 Main St"/>
    <s v="Gift Card"/>
    <s v="Returned"/>
    <s v="TRK37022954"/>
    <n v="6"/>
    <m/>
    <s v="Instagram"/>
    <n v="1300.5"/>
  </r>
  <r>
    <x v="1091"/>
    <x v="192"/>
    <s v="C16400"/>
    <s v="Laptop"/>
    <n v="3"/>
    <n v="209.48"/>
    <s v="123 Main St"/>
    <s v="Debit Card"/>
    <s v="Pending"/>
    <s v="TRK57771859"/>
    <n v="4"/>
    <m/>
    <s v="Email"/>
    <n v="628.43999999999994"/>
  </r>
  <r>
    <x v="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x v="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x v="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x v="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x v="1096"/>
    <x v="120"/>
    <s v="C18169"/>
    <s v="Tablet"/>
    <n v="2"/>
    <n v="464.92"/>
    <s v="782 Main St"/>
    <s v="Debit Card"/>
    <s v="Returned"/>
    <s v="TRK49482923"/>
    <n v="2"/>
    <m/>
    <s v="Facebook"/>
    <n v="929.84"/>
  </r>
  <r>
    <x v="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x v="1098"/>
    <x v="646"/>
    <s v="C91103"/>
    <s v="Monitor"/>
    <n v="4"/>
    <n v="255.86"/>
    <s v="155 Main St"/>
    <s v="Credit Card"/>
    <s v="Delivered"/>
    <s v="TRK91653000"/>
    <n v="7"/>
    <m/>
    <s v="Email"/>
    <n v="1023.44"/>
  </r>
  <r>
    <x v="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x v="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x v="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x v="1102"/>
    <x v="561"/>
    <s v="C98474"/>
    <s v="Chair"/>
    <n v="4"/>
    <n v="347.17"/>
    <s v="997 Main St"/>
    <s v="Debit Card"/>
    <s v="Shipped"/>
    <s v="TRK86192984"/>
    <n v="8"/>
    <m/>
    <s v="Instagram"/>
    <n v="1388.68"/>
  </r>
  <r>
    <x v="1103"/>
    <x v="648"/>
    <s v="C90292"/>
    <s v="Laptop"/>
    <n v="4"/>
    <n v="276.32"/>
    <s v="129 Main St"/>
    <s v="Online"/>
    <s v="Delivered"/>
    <s v="TRK26270357"/>
    <n v="5"/>
    <m/>
    <s v="Google"/>
    <n v="1105.28"/>
  </r>
  <r>
    <x v="1104"/>
    <x v="568"/>
    <s v="C17075"/>
    <s v="Tablet"/>
    <n v="4"/>
    <n v="314.76"/>
    <s v="850 Main St"/>
    <s v="Online"/>
    <s v="Shipped"/>
    <s v="TRK63547510"/>
    <n v="8"/>
    <m/>
    <s v="Instagram"/>
    <n v="1259.04"/>
  </r>
  <r>
    <x v="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x v="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x v="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x v="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x v="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x v="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x v="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x v="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x v="1113"/>
    <x v="111"/>
    <s v="C52914"/>
    <s v="Desk"/>
    <n v="4"/>
    <n v="209.99"/>
    <s v="168 Main St"/>
    <s v="Cash"/>
    <s v="Delivered"/>
    <s v="TRK80819053"/>
    <n v="8"/>
    <m/>
    <s v="Google"/>
    <n v="839.96"/>
  </r>
  <r>
    <x v="1114"/>
    <x v="653"/>
    <s v="C55164"/>
    <s v="Tablet"/>
    <n v="3"/>
    <n v="659.88"/>
    <s v="609 Main St"/>
    <s v="Gift Card"/>
    <s v="Cancelled"/>
    <s v="TRK79610967"/>
    <n v="3"/>
    <m/>
    <s v="Google"/>
    <n v="1979.64"/>
  </r>
  <r>
    <x v="1115"/>
    <x v="126"/>
    <s v="C70426"/>
    <s v="Laptop"/>
    <n v="2"/>
    <n v="336.32"/>
    <s v="562 Main St"/>
    <s v="Online"/>
    <s v="Returned"/>
    <s v="TRK89687816"/>
    <n v="3"/>
    <m/>
    <s v="Google"/>
    <n v="672.64"/>
  </r>
  <r>
    <x v="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x v="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x v="1118"/>
    <x v="75"/>
    <s v="C58168"/>
    <s v="Phone"/>
    <n v="3"/>
    <n v="251.48"/>
    <s v="359 Main St"/>
    <s v="Credit Card"/>
    <s v="Returned"/>
    <s v="TRK99102265"/>
    <n v="4"/>
    <m/>
    <s v="Email"/>
    <n v="754.43999999999994"/>
  </r>
  <r>
    <x v="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x v="1120"/>
    <x v="400"/>
    <s v="C22919"/>
    <s v="Tablet"/>
    <n v="1"/>
    <n v="195.86"/>
    <s v="267 Main St"/>
    <s v="Online"/>
    <s v="Pending"/>
    <s v="TRK82416295"/>
    <n v="3"/>
    <m/>
    <s v="Facebook"/>
    <n v="195.86"/>
  </r>
  <r>
    <x v="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x v="1122"/>
    <x v="323"/>
    <s v="C38840"/>
    <s v="Monitor"/>
    <n v="5"/>
    <n v="678.19"/>
    <s v="766 Main St"/>
    <s v="Online"/>
    <s v="Returned"/>
    <s v="TRK32496970"/>
    <n v="8"/>
    <m/>
    <s v="Facebook"/>
    <n v="3390.95"/>
  </r>
  <r>
    <x v="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x v="1124"/>
    <x v="221"/>
    <s v="C33744"/>
    <s v="Chair"/>
    <n v="4"/>
    <n v="576.87"/>
    <s v="888 Main St"/>
    <s v="Gift Card"/>
    <s v="Returned"/>
    <s v="TRK40245983"/>
    <n v="5"/>
    <m/>
    <s v="Instagram"/>
    <n v="2307.48"/>
  </r>
  <r>
    <x v="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x v="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x v="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x v="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x v="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x v="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x v="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x v="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x v="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x v="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x v="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x v="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x v="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x v="1138"/>
    <x v="552"/>
    <s v="C13100"/>
    <s v="Desk"/>
    <n v="4"/>
    <n v="294.41000000000003"/>
    <s v="188 Main St"/>
    <s v="Debit Card"/>
    <s v="Pending"/>
    <s v="TRK55565668"/>
    <n v="4"/>
    <m/>
    <s v="Instagram"/>
    <n v="1177.6400000000001"/>
  </r>
  <r>
    <x v="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x v="1140"/>
    <x v="658"/>
    <s v="C49838"/>
    <s v="Printer"/>
    <n v="2"/>
    <n v="552.83000000000004"/>
    <s v="904 Main St"/>
    <s v="Credit Card"/>
    <s v="Cancelled"/>
    <s v="TRK38297718"/>
    <n v="3"/>
    <m/>
    <s v="Referral"/>
    <n v="1105.6600000000001"/>
  </r>
  <r>
    <x v="1141"/>
    <x v="656"/>
    <s v="C11998"/>
    <s v="Chair"/>
    <n v="3"/>
    <n v="498.66"/>
    <s v="382 Main St"/>
    <s v="Cash"/>
    <s v="Cancelled"/>
    <s v="TRK26707221"/>
    <n v="6"/>
    <m/>
    <s v="Email"/>
    <n v="1495.98"/>
  </r>
  <r>
    <x v="1142"/>
    <x v="1"/>
    <s v="C23405"/>
    <s v="Phone"/>
    <n v="4"/>
    <n v="695.1"/>
    <s v="484 Main St"/>
    <s v="Debit Card"/>
    <s v="Returned"/>
    <s v="TRK83678708"/>
    <n v="8"/>
    <m/>
    <s v="Email"/>
    <n v="2780.4"/>
  </r>
  <r>
    <x v="1143"/>
    <x v="659"/>
    <s v="C41132"/>
    <s v="Chair"/>
    <n v="1"/>
    <n v="381.61"/>
    <s v="114 Main St"/>
    <s v="Debit Card"/>
    <s v="Pending"/>
    <s v="TRK51040137"/>
    <n v="5"/>
    <m/>
    <s v="Email"/>
    <n v="381.61"/>
  </r>
  <r>
    <x v="1144"/>
    <x v="223"/>
    <s v="C88463"/>
    <s v="Desk"/>
    <n v="5"/>
    <n v="507.94"/>
    <s v="292 Main St"/>
    <s v="Online"/>
    <s v="Cancelled"/>
    <s v="TRK88749996"/>
    <n v="9"/>
    <m/>
    <s v="Facebook"/>
    <n v="2539.6999999999998"/>
  </r>
  <r>
    <x v="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x v="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x v="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x v="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x v="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x v="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x v="1151"/>
    <x v="22"/>
    <s v="C94381"/>
    <s v="Chair"/>
    <n v="2"/>
    <n v="608.04"/>
    <s v="962 Main St"/>
    <s v="Cash"/>
    <s v="Cancelled"/>
    <s v="TRK69804304"/>
    <n v="4"/>
    <m/>
    <s v="Google"/>
    <n v="1216.08"/>
  </r>
  <r>
    <x v="1152"/>
    <x v="576"/>
    <s v="C25162"/>
    <s v="Tablet"/>
    <n v="2"/>
    <n v="344.18"/>
    <s v="533 Main St"/>
    <s v="Credit Card"/>
    <s v="Shipped"/>
    <s v="TRK42183078"/>
    <n v="7"/>
    <m/>
    <s v="Referral"/>
    <n v="688.36"/>
  </r>
  <r>
    <x v="1153"/>
    <x v="393"/>
    <s v="C98317"/>
    <s v="Monitor"/>
    <n v="4"/>
    <n v="696.71"/>
    <s v="276 Main St"/>
    <s v="Debit Card"/>
    <s v="Shipped"/>
    <s v="TRK37172138"/>
    <n v="4"/>
    <m/>
    <s v="Instagram"/>
    <n v="2786.84"/>
  </r>
  <r>
    <x v="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x v="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x v="1156"/>
    <x v="45"/>
    <s v="C20512"/>
    <s v="Laptop"/>
    <n v="4"/>
    <n v="690.78"/>
    <s v="980 Main St"/>
    <s v="Credit Card"/>
    <s v="Shipped"/>
    <s v="TRK98234737"/>
    <n v="9"/>
    <m/>
    <s v="Referral"/>
    <n v="2763.12"/>
  </r>
  <r>
    <x v="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x v="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x v="1159"/>
    <x v="203"/>
    <s v="C66112"/>
    <s v="Desk"/>
    <n v="4"/>
    <n v="466.7"/>
    <s v="874 Main St"/>
    <s v="Debit Card"/>
    <s v="Returned"/>
    <s v="TRK60955607"/>
    <n v="8"/>
    <m/>
    <s v="Instagram"/>
    <n v="1866.8"/>
  </r>
  <r>
    <x v="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x v="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x v="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x v="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x v="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x v="1165"/>
    <x v="328"/>
    <s v="C36992"/>
    <s v="Chair"/>
    <n v="3"/>
    <n v="223.79"/>
    <s v="617 Main St"/>
    <s v="Debit Card"/>
    <s v="Pending"/>
    <s v="TRK63460217"/>
    <n v="3"/>
    <m/>
    <s v="Google"/>
    <n v="671.37"/>
  </r>
  <r>
    <x v="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x v="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x v="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x v="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x v="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x v="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x v="1172"/>
    <x v="496"/>
    <s v="C28828"/>
    <s v="Desk"/>
    <n v="3"/>
    <n v="131.96"/>
    <s v="745 Main St"/>
    <s v="Credit Card"/>
    <s v="Pending"/>
    <s v="TRK32550359"/>
    <n v="8"/>
    <m/>
    <s v="Instagram"/>
    <n v="395.88"/>
  </r>
  <r>
    <x v="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x v="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x v="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x v="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x v="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x v="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x v="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x v="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x v="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x v="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x v="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x v="1184"/>
    <x v="610"/>
    <s v="C10222"/>
    <s v="Laptop"/>
    <n v="1"/>
    <n v="204.08"/>
    <s v="979 Main St"/>
    <s v="Gift Card"/>
    <s v="Returned"/>
    <s v="TRK86297895"/>
    <n v="4"/>
    <m/>
    <s v="Google"/>
    <n v="204.08"/>
  </r>
  <r>
    <x v="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x v="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x v="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x v="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x v="1189"/>
    <x v="666"/>
    <s v="C96136"/>
    <s v="Tablet"/>
    <n v="5"/>
    <n v="389.22"/>
    <s v="149 Main St"/>
    <s v="Cash"/>
    <s v="Cancelled"/>
    <s v="TRK60856682"/>
    <n v="7"/>
    <m/>
    <s v="Referral"/>
    <n v="1946.1"/>
  </r>
  <r>
    <x v="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x v="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x v="1192"/>
    <x v="329"/>
    <s v="C72007"/>
    <s v="Chair"/>
    <n v="3"/>
    <n v="432.85"/>
    <s v="999 Main St"/>
    <s v="Online"/>
    <s v="Pending"/>
    <s v="TRK16240916"/>
    <n v="4"/>
    <m/>
    <s v="Instagram"/>
    <n v="1298.55"/>
  </r>
  <r>
    <x v="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x v="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x v="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x v="1196"/>
    <x v="668"/>
    <s v="C20095"/>
    <s v="Monitor"/>
    <n v="2"/>
    <n v="662.53"/>
    <s v="778 Main St"/>
    <s v="Online"/>
    <s v="Cancelled"/>
    <s v="TRK69207593"/>
    <n v="5"/>
    <m/>
    <s v="Facebook"/>
    <n v="1325.06"/>
  </r>
  <r>
    <x v="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x v="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x v="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B5D27-20A4-450C-842B-ECBBBF66E0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37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 Count" fld="0" subtotal="count" baseField="0" baseItem="0"/>
    <dataField name="Total Revenu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E4F734-DA2B-43B6-9E9C-B165B0DA469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A0C664-B697-4D43-A7F2-AF958F735D23}" name="Table10" displayName="Table10" ref="A1:B9" totalsRowShown="0">
  <autoFilter ref="A1:B9" xr:uid="{5BA0C664-B697-4D43-A7F2-AF958F735D23}"/>
  <tableColumns count="2">
    <tableColumn id="1" xr3:uid="{B10A2465-556B-464D-B9CF-E5E1D915E64D}" name="TotalPrice Outlier Analysis"/>
    <tableColumn id="2" xr3:uid="{0C4185C8-5CB4-4BA8-885E-BE40AE852B74}" name="Valu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CACEDF-B1E2-4880-91D9-28F90F386CF6}" name="Table12" displayName="Table12" ref="A11:B16" totalsRowShown="0">
  <autoFilter ref="A11:B16" xr:uid="{B7CACEDF-B1E2-4880-91D9-28F90F386CF6}"/>
  <tableColumns count="2">
    <tableColumn id="1" xr3:uid="{8951474A-CC09-4B57-AEA2-542933C5DD8F}" name="Outlier Summary"/>
    <tableColumn id="2" xr3:uid="{D9510199-B276-473A-863D-A3FA25B5F5F8}" name="Valu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A4578-CFE9-463A-A704-D57258CD962E}" name="Table1" displayName="Table1" ref="A1:B5" totalsRowShown="0">
  <autoFilter ref="A1:B5" xr:uid="{CEBA4578-CFE9-463A-A704-D57258CD962E}"/>
  <tableColumns count="2">
    <tableColumn id="1" xr3:uid="{80101D09-5406-45A9-9568-85D9A7D6AF5E}" name="Dataset Overview"/>
    <tableColumn id="2" xr3:uid="{6CD6E99D-0AE5-4892-95E3-7FBF78C723CF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74834-063A-4146-944E-588486CDA737}" name="Table4" displayName="Table4" ref="A7:D21" totalsRowShown="0">
  <autoFilter ref="A7:D21" xr:uid="{25474834-063A-4146-944E-588486CDA737}"/>
  <tableColumns count="4">
    <tableColumn id="1" xr3:uid="{850051B1-090A-4A7A-A76D-F23B9C1AAFDE}" name="Column Name"/>
    <tableColumn id="2" xr3:uid="{970F6D68-81D0-48C9-811B-748576C9929A}" name="Data Type"/>
    <tableColumn id="3" xr3:uid="{C7DDB692-8570-4AAA-9C79-311E460CA2D8}" name="Null Count"/>
    <tableColumn id="4" xr3:uid="{7C4E00AC-FDFE-43E6-9560-0700425AEC23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9F23DE-CCAC-498F-B209-75943846335D}" name="Table5" displayName="Table5" ref="A1:E9" totalsRowShown="0" headerRowDxfId="22">
  <autoFilter ref="A1:E9" xr:uid="{779F23DE-CCAC-498F-B209-75943846335D}"/>
  <tableColumns count="5">
    <tableColumn id="1" xr3:uid="{5461173C-CC3F-4780-A112-0ED36FB66B46}" name="Metrics"/>
    <tableColumn id="2" xr3:uid="{3D65DDA7-617E-4B28-A9E3-D2D07AE7E31C}" name="Quantity" dataDxfId="21"/>
    <tableColumn id="3" xr3:uid="{EB6C547C-E98A-439E-94FE-736128B675FD}" name="UnitPrice" dataDxfId="20"/>
    <tableColumn id="4" xr3:uid="{E8443A50-7A09-41C9-9C1B-401D19C26E00}" name="TotalPrice" dataDxfId="19"/>
    <tableColumn id="5" xr3:uid="{132CB08A-6565-4C39-A33A-F26B2F4D0B76}" name="ItemsInCart" dataDxfId="1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DAE981-3E4B-4A28-BC58-364ACFC4B10D}" name="Table6" displayName="Table6" ref="A2:C10" totalsRowShown="0">
  <autoFilter ref="A2:C10" xr:uid="{D7DAE981-3E4B-4A28-BC58-364ACFC4B10D}"/>
  <tableColumns count="3">
    <tableColumn id="1" xr3:uid="{241A6DD2-946A-449F-95B6-DE81CCE66178}" name="Product"/>
    <tableColumn id="2" xr3:uid="{10FD6658-B7F4-4405-9D90-433C732E7318}" name="Order Count"/>
    <tableColumn id="3" xr3:uid="{F44478D5-02DE-45A1-A1A0-D914B00FE38A}" name="% of Total" dataDxf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D735D0-2B9C-4BD2-84F2-3A3C1DBC9206}" name="Table7" displayName="Table7" ref="A13:C19" totalsRowShown="0">
  <autoFilter ref="A13:C19" xr:uid="{86D735D0-2B9C-4BD2-84F2-3A3C1DBC9206}"/>
  <tableColumns count="3">
    <tableColumn id="1" xr3:uid="{5C32D88A-8ED2-42CB-B61F-DC2A7A1D82FB}" name="Order Status"/>
    <tableColumn id="2" xr3:uid="{9643EEA8-BCAB-46CD-8010-4109BBAC2EAD}" name="Count"/>
    <tableColumn id="3" xr3:uid="{525767B4-2A9D-4867-9656-DC9D3B8BF886}" name="% of Total" dataDxfId="1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5AEFB4-E726-45EE-AAC3-B818ABC82BB5}" name="Table8" displayName="Table8" ref="A22:C28" totalsRowShown="0">
  <autoFilter ref="A22:C28" xr:uid="{805AEFB4-E726-45EE-AAC3-B818ABC82BB5}"/>
  <tableColumns count="3">
    <tableColumn id="1" xr3:uid="{9C73F6A0-EFF2-4B37-8BAE-619C0CBE8338}" name="Payment Method"/>
    <tableColumn id="2" xr3:uid="{42C11882-CE0D-4582-B4DC-CC379BB4692D}" name="Count"/>
    <tableColumn id="3" xr3:uid="{0451BBF5-23F9-4DF2-AA89-C357DC753911}" name="% of Total" dataDxfId="1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E74165-CCDA-4B99-A5D4-A81DC1BB8C5F}" name="Table9" displayName="Table9" ref="A31:C37" totalsRowShown="0">
  <autoFilter ref="A31:C37" xr:uid="{44E74165-CCDA-4B99-A5D4-A81DC1BB8C5F}"/>
  <tableColumns count="3">
    <tableColumn id="1" xr3:uid="{C8A01D77-8939-43A6-A908-C029F73CF179}" name="Referral Source"/>
    <tableColumn id="2" xr3:uid="{B368BA55-5475-4163-B2C2-569ADB5B7000}" name="Count"/>
    <tableColumn id="3" xr3:uid="{49870E11-074B-4A0C-8074-515F7936A85F}" name="% of Total" dataDxfId="1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03046-D64D-4DAE-9118-66F2DA3B3A01}" name="Table2_1" displayName="Table2_1" ref="A1:N1201" tableType="queryTable" totalsRowShown="0">
  <autoFilter ref="A1:N1201" xr:uid="{0F303046-D64D-4DAE-9118-66F2DA3B3A01}"/>
  <tableColumns count="14">
    <tableColumn id="1" xr3:uid="{972F584D-575A-478D-9EDC-3ABF074C0BE3}" uniqueName="1" name="OrderID" queryTableFieldId="1" dataDxfId="13"/>
    <tableColumn id="2" xr3:uid="{19E0B453-2D56-49FD-9C51-0D3EB2A50CD6}" uniqueName="2" name="Date" queryTableFieldId="2" dataDxfId="12"/>
    <tableColumn id="3" xr3:uid="{CCDA498E-CB7F-467C-AEE5-4F9719E3E729}" uniqueName="3" name="CustomerID" queryTableFieldId="3" dataDxfId="11"/>
    <tableColumn id="4" xr3:uid="{FE9550B7-BBAE-4EA8-86E3-422B04FB1EC6}" uniqueName="4" name="Product" queryTableFieldId="4" dataDxfId="10"/>
    <tableColumn id="5" xr3:uid="{E0869881-86B2-4182-8981-FAF1174A8E9C}" uniqueName="5" name="Quantity" queryTableFieldId="5"/>
    <tableColumn id="6" xr3:uid="{573C5752-C0CA-4F5B-B53A-53C60C4AF120}" uniqueName="6" name="UnitPrice" queryTableFieldId="6"/>
    <tableColumn id="7" xr3:uid="{4F4205FF-3D96-42D5-BC98-22F3FB351E1A}" uniqueName="7" name="ShippingAddress" queryTableFieldId="7" dataDxfId="9"/>
    <tableColumn id="8" xr3:uid="{58475FBE-6E9B-4731-AE7E-8164E03294CA}" uniqueName="8" name="PaymentMethod" queryTableFieldId="8" dataDxfId="8"/>
    <tableColumn id="9" xr3:uid="{AB042A38-EDC9-4E97-B14A-4A3D5D752F26}" uniqueName="9" name="OrderStatus" queryTableFieldId="9" dataDxfId="7"/>
    <tableColumn id="10" xr3:uid="{D23021B6-3894-4CA7-BA0E-6B19C44720D6}" uniqueName="10" name="TrackingNumber" queryTableFieldId="10" dataDxfId="6"/>
    <tableColumn id="11" xr3:uid="{FFE71C4E-C947-4F94-A15D-622E2ADE65E6}" uniqueName="11" name="ItemsInCart" queryTableFieldId="11"/>
    <tableColumn id="12" xr3:uid="{E46C7AF9-BD6A-4A69-832D-978032BC5F29}" uniqueName="12" name="CouponCode" queryTableFieldId="12" dataDxfId="5"/>
    <tableColumn id="13" xr3:uid="{6646750E-0C6F-4FB4-B504-48A1E3352794}" uniqueName="13" name="ReferralSource" queryTableFieldId="13" dataDxfId="4"/>
    <tableColumn id="14" xr3:uid="{72BCE996-5E88-4A8A-8F09-91710105E38F}" uniqueName="14" name="TotalPrice" queryTableField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F41052-E920-4332-A339-DE50A773B3F8}" name="Table2" displayName="Table2" ref="A1:N1201" totalsRowShown="0" headerRowDxfId="3" headerRowBorderDxfId="2" tableBorderDxfId="1">
  <autoFilter ref="A1:N1201" xr:uid="{48F41052-E920-4332-A339-DE50A773B3F8}"/>
  <tableColumns count="14">
    <tableColumn id="1" xr3:uid="{4D174188-FFBD-4B4A-B3C0-3A917FEFAFF4}" name="OrderID"/>
    <tableColumn id="2" xr3:uid="{47F0B80F-8F15-4230-A00D-4EFA01962912}" name="Date" dataDxfId="0"/>
    <tableColumn id="3" xr3:uid="{4D5595D7-51EA-4C75-8E61-FC3171F13E37}" name="CustomerID"/>
    <tableColumn id="4" xr3:uid="{8768313B-8611-4695-A2DD-3317E8BF5DC1}" name="Product"/>
    <tableColumn id="5" xr3:uid="{1692708F-056E-45C1-98DF-3AD15FEFD283}" name="Quantity"/>
    <tableColumn id="6" xr3:uid="{70458C29-F4B4-4FA3-84EF-FA102CF5F7E9}" name="UnitPrice"/>
    <tableColumn id="7" xr3:uid="{69140941-5B2B-40ED-865F-89F178ECB1B4}" name="ShippingAddress"/>
    <tableColumn id="8" xr3:uid="{69B7764A-B507-4972-A82A-D6C45EADE92A}" name="PaymentMethod"/>
    <tableColumn id="9" xr3:uid="{6E189796-3817-4FD9-8446-EC245A5F3136}" name="OrderStatus"/>
    <tableColumn id="10" xr3:uid="{7C1F9433-2CF2-4CDB-8AD1-720DD03BF198}" name="TrackingNumber"/>
    <tableColumn id="11" xr3:uid="{A229DE41-7F8F-4099-88A5-3ECC8A7692C9}" name="ItemsInCart"/>
    <tableColumn id="12" xr3:uid="{B74157DF-E667-4AE4-9A2C-317405BCEB8A}" name="CouponCode"/>
    <tableColumn id="13" xr3:uid="{D01F1BF5-4EF2-42E8-9E41-A53CFC31C36A}" name="ReferralSource"/>
    <tableColumn id="14" xr3:uid="{D852647A-401C-4471-9DBF-CC659A8A39E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C099-FE43-4F1B-AEA5-02A439763D5B}">
  <dimension ref="A3:C37"/>
  <sheetViews>
    <sheetView topLeftCell="A9" workbookViewId="0">
      <selection activeCell="F23" sqref="F23"/>
    </sheetView>
  </sheetViews>
  <sheetFormatPr defaultRowHeight="15" x14ac:dyDescent="0.25"/>
  <cols>
    <col min="1" max="1" width="13.140625" bestFit="1" customWidth="1"/>
    <col min="2" max="2" width="11.85546875" bestFit="1" customWidth="1"/>
    <col min="3" max="3" width="13.85546875" bestFit="1" customWidth="1"/>
  </cols>
  <sheetData>
    <row r="3" spans="1:3" x14ac:dyDescent="0.25">
      <c r="A3" s="12" t="s">
        <v>4332</v>
      </c>
      <c r="B3" t="s">
        <v>4325</v>
      </c>
      <c r="C3" t="s">
        <v>4337</v>
      </c>
    </row>
    <row r="4" spans="1:3" x14ac:dyDescent="0.25">
      <c r="A4" s="13" t="s">
        <v>4334</v>
      </c>
      <c r="B4">
        <v>510</v>
      </c>
      <c r="C4">
        <v>552643.23999999953</v>
      </c>
    </row>
    <row r="5" spans="1:3" x14ac:dyDescent="0.25">
      <c r="A5" s="14" t="s">
        <v>4338</v>
      </c>
      <c r="B5">
        <v>47</v>
      </c>
      <c r="C5">
        <v>56685.749999999985</v>
      </c>
    </row>
    <row r="6" spans="1:3" x14ac:dyDescent="0.25">
      <c r="A6" s="14" t="s">
        <v>4339</v>
      </c>
      <c r="B6">
        <v>37</v>
      </c>
      <c r="C6">
        <v>40117.659999999996</v>
      </c>
    </row>
    <row r="7" spans="1:3" x14ac:dyDescent="0.25">
      <c r="A7" s="14" t="s">
        <v>4340</v>
      </c>
      <c r="B7">
        <v>43</v>
      </c>
      <c r="C7">
        <v>48609.37000000001</v>
      </c>
    </row>
    <row r="8" spans="1:3" x14ac:dyDescent="0.25">
      <c r="A8" s="14" t="s">
        <v>4341</v>
      </c>
      <c r="B8">
        <v>31</v>
      </c>
      <c r="C8">
        <v>27751.710000000006</v>
      </c>
    </row>
    <row r="9" spans="1:3" x14ac:dyDescent="0.25">
      <c r="A9" s="14" t="s">
        <v>4342</v>
      </c>
      <c r="B9">
        <v>49</v>
      </c>
      <c r="C9">
        <v>63836.840000000026</v>
      </c>
    </row>
    <row r="10" spans="1:3" x14ac:dyDescent="0.25">
      <c r="A10" s="14" t="s">
        <v>4343</v>
      </c>
      <c r="B10">
        <v>45</v>
      </c>
      <c r="C10">
        <v>49500.19</v>
      </c>
    </row>
    <row r="11" spans="1:3" x14ac:dyDescent="0.25">
      <c r="A11" s="14" t="s">
        <v>4344</v>
      </c>
      <c r="B11">
        <v>44</v>
      </c>
      <c r="C11">
        <v>42820.66</v>
      </c>
    </row>
    <row r="12" spans="1:3" x14ac:dyDescent="0.25">
      <c r="A12" s="14" t="s">
        <v>4345</v>
      </c>
      <c r="B12">
        <v>51</v>
      </c>
      <c r="C12">
        <v>54352.14</v>
      </c>
    </row>
    <row r="13" spans="1:3" x14ac:dyDescent="0.25">
      <c r="A13" s="14" t="s">
        <v>4346</v>
      </c>
      <c r="B13">
        <v>29</v>
      </c>
      <c r="C13">
        <v>29526.67</v>
      </c>
    </row>
    <row r="14" spans="1:3" x14ac:dyDescent="0.25">
      <c r="A14" s="14" t="s">
        <v>4347</v>
      </c>
      <c r="B14">
        <v>47</v>
      </c>
      <c r="C14">
        <v>52607.85</v>
      </c>
    </row>
    <row r="15" spans="1:3" x14ac:dyDescent="0.25">
      <c r="A15" s="14" t="s">
        <v>4348</v>
      </c>
      <c r="B15">
        <v>41</v>
      </c>
      <c r="C15">
        <v>43079.67</v>
      </c>
    </row>
    <row r="16" spans="1:3" x14ac:dyDescent="0.25">
      <c r="A16" s="14" t="s">
        <v>4349</v>
      </c>
      <c r="B16">
        <v>46</v>
      </c>
      <c r="C16">
        <v>43754.729999999981</v>
      </c>
    </row>
    <row r="17" spans="1:3" x14ac:dyDescent="0.25">
      <c r="A17" s="13" t="s">
        <v>4335</v>
      </c>
      <c r="B17">
        <v>459</v>
      </c>
      <c r="C17">
        <v>480235.87000000064</v>
      </c>
    </row>
    <row r="18" spans="1:3" x14ac:dyDescent="0.25">
      <c r="A18" s="14" t="s">
        <v>4338</v>
      </c>
      <c r="B18">
        <v>32</v>
      </c>
      <c r="C18">
        <v>38528.079999999994</v>
      </c>
    </row>
    <row r="19" spans="1:3" x14ac:dyDescent="0.25">
      <c r="A19" s="14" t="s">
        <v>4339</v>
      </c>
      <c r="B19">
        <v>32</v>
      </c>
      <c r="C19">
        <v>36909.570000000014</v>
      </c>
    </row>
    <row r="20" spans="1:3" x14ac:dyDescent="0.25">
      <c r="A20" s="14" t="s">
        <v>4340</v>
      </c>
      <c r="B20">
        <v>36</v>
      </c>
      <c r="C20">
        <v>36030.899999999994</v>
      </c>
    </row>
    <row r="21" spans="1:3" x14ac:dyDescent="0.25">
      <c r="A21" s="14" t="s">
        <v>4341</v>
      </c>
      <c r="B21">
        <v>50</v>
      </c>
      <c r="C21">
        <v>49613.139999999992</v>
      </c>
    </row>
    <row r="22" spans="1:3" x14ac:dyDescent="0.25">
      <c r="A22" s="14" t="s">
        <v>4342</v>
      </c>
      <c r="B22">
        <v>34</v>
      </c>
      <c r="C22">
        <v>27909.110000000004</v>
      </c>
    </row>
    <row r="23" spans="1:3" x14ac:dyDescent="0.25">
      <c r="A23" s="14" t="s">
        <v>4343</v>
      </c>
      <c r="B23">
        <v>53</v>
      </c>
      <c r="C23">
        <v>68068.539999999979</v>
      </c>
    </row>
    <row r="24" spans="1:3" x14ac:dyDescent="0.25">
      <c r="A24" s="14" t="s">
        <v>4344</v>
      </c>
      <c r="B24">
        <v>43</v>
      </c>
      <c r="C24">
        <v>42963.98</v>
      </c>
    </row>
    <row r="25" spans="1:3" x14ac:dyDescent="0.25">
      <c r="A25" s="14" t="s">
        <v>4345</v>
      </c>
      <c r="B25">
        <v>28</v>
      </c>
      <c r="C25">
        <v>31991.07</v>
      </c>
    </row>
    <row r="26" spans="1:3" x14ac:dyDescent="0.25">
      <c r="A26" s="14" t="s">
        <v>4346</v>
      </c>
      <c r="B26">
        <v>44</v>
      </c>
      <c r="C26">
        <v>39794.979999999996</v>
      </c>
    </row>
    <row r="27" spans="1:3" x14ac:dyDescent="0.25">
      <c r="A27" s="14" t="s">
        <v>4347</v>
      </c>
      <c r="B27">
        <v>31</v>
      </c>
      <c r="C27">
        <v>37226.969999999994</v>
      </c>
    </row>
    <row r="28" spans="1:3" x14ac:dyDescent="0.25">
      <c r="A28" s="14" t="s">
        <v>4348</v>
      </c>
      <c r="B28">
        <v>35</v>
      </c>
      <c r="C28">
        <v>32413.760000000006</v>
      </c>
    </row>
    <row r="29" spans="1:3" x14ac:dyDescent="0.25">
      <c r="A29" s="14" t="s">
        <v>4349</v>
      </c>
      <c r="B29">
        <v>41</v>
      </c>
      <c r="C29">
        <v>38785.769999999997</v>
      </c>
    </row>
    <row r="30" spans="1:3" x14ac:dyDescent="0.25">
      <c r="A30" s="13" t="s">
        <v>4336</v>
      </c>
      <c r="B30">
        <v>231</v>
      </c>
      <c r="C30">
        <v>231882.84999999986</v>
      </c>
    </row>
    <row r="31" spans="1:3" x14ac:dyDescent="0.25">
      <c r="A31" s="14" t="s">
        <v>4338</v>
      </c>
      <c r="B31">
        <v>27</v>
      </c>
      <c r="C31">
        <v>29099.399999999998</v>
      </c>
    </row>
    <row r="32" spans="1:3" x14ac:dyDescent="0.25">
      <c r="A32" s="14" t="s">
        <v>4339</v>
      </c>
      <c r="B32">
        <v>37</v>
      </c>
      <c r="C32">
        <v>35317.549999999996</v>
      </c>
    </row>
    <row r="33" spans="1:3" x14ac:dyDescent="0.25">
      <c r="A33" s="14" t="s">
        <v>4340</v>
      </c>
      <c r="B33">
        <v>49</v>
      </c>
      <c r="C33">
        <v>39200.660000000011</v>
      </c>
    </row>
    <row r="34" spans="1:3" x14ac:dyDescent="0.25">
      <c r="A34" s="14" t="s">
        <v>4341</v>
      </c>
      <c r="B34">
        <v>32</v>
      </c>
      <c r="C34">
        <v>31821.200000000001</v>
      </c>
    </row>
    <row r="35" spans="1:3" x14ac:dyDescent="0.25">
      <c r="A35" s="14" t="s">
        <v>4342</v>
      </c>
      <c r="B35">
        <v>37</v>
      </c>
      <c r="C35">
        <v>43396.639999999992</v>
      </c>
    </row>
    <row r="36" spans="1:3" x14ac:dyDescent="0.25">
      <c r="A36" s="14" t="s">
        <v>4343</v>
      </c>
      <c r="B36">
        <v>49</v>
      </c>
      <c r="C36">
        <v>53047.399999999994</v>
      </c>
    </row>
    <row r="37" spans="1:3" x14ac:dyDescent="0.25">
      <c r="A37" s="13" t="s">
        <v>4333</v>
      </c>
      <c r="B37">
        <v>1200</v>
      </c>
      <c r="C37">
        <v>1264761.9599999988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4006-7FA3-4515-AC83-231FB0A98CC7}">
  <dimension ref="A1:N47"/>
  <sheetViews>
    <sheetView zoomScaleNormal="100" workbookViewId="0">
      <selection activeCell="H36" sqref="H36"/>
    </sheetView>
  </sheetViews>
  <sheetFormatPr defaultRowHeight="15" x14ac:dyDescent="0.25"/>
  <cols>
    <col min="1" max="1" width="30.28515625" bestFit="1" customWidth="1"/>
    <col min="2" max="2" width="11" customWidth="1"/>
  </cols>
  <sheetData>
    <row r="1" spans="1:2" x14ac:dyDescent="0.25">
      <c r="A1" t="s">
        <v>4350</v>
      </c>
      <c r="B1" t="s">
        <v>4365</v>
      </c>
    </row>
    <row r="2" spans="1:2" x14ac:dyDescent="0.25">
      <c r="A2" t="s">
        <v>4351</v>
      </c>
      <c r="B2" s="8">
        <f>QUARTILE(Sheet1!N2:N1201,1)</f>
        <v>410.52</v>
      </c>
    </row>
    <row r="3" spans="1:2" x14ac:dyDescent="0.25">
      <c r="A3" t="s">
        <v>4352</v>
      </c>
      <c r="B3" s="8">
        <f>QUARTILE(Sheet1!N2:N1201,3)</f>
        <v>1578.4749999999999</v>
      </c>
    </row>
    <row r="4" spans="1:2" x14ac:dyDescent="0.25">
      <c r="A4" t="s">
        <v>4353</v>
      </c>
      <c r="B4" s="8">
        <f>B3-B2</f>
        <v>1167.9549999999999</v>
      </c>
    </row>
    <row r="5" spans="1:2" x14ac:dyDescent="0.25">
      <c r="A5" t="s">
        <v>4354</v>
      </c>
      <c r="B5" s="8">
        <f>B2-(1.5*B4)</f>
        <v>-1341.4124999999999</v>
      </c>
    </row>
    <row r="6" spans="1:2" x14ac:dyDescent="0.25">
      <c r="A6" t="s">
        <v>4355</v>
      </c>
      <c r="B6" s="8">
        <f>B3+(1.5*B4)</f>
        <v>3330.4074999999998</v>
      </c>
    </row>
    <row r="7" spans="1:2" x14ac:dyDescent="0.25">
      <c r="A7" t="s">
        <v>4356</v>
      </c>
      <c r="B7">
        <f>COUNTIF(Sheet1!N2:N1201,"&lt;"&amp;B5)</f>
        <v>0</v>
      </c>
    </row>
    <row r="8" spans="1:2" x14ac:dyDescent="0.25">
      <c r="A8" t="s">
        <v>4357</v>
      </c>
      <c r="B8">
        <f>COUNTIF(Sheet1!N2:N1201,"&gt;"&amp;B6)</f>
        <v>8</v>
      </c>
    </row>
    <row r="9" spans="1:2" x14ac:dyDescent="0.25">
      <c r="A9" t="s">
        <v>4358</v>
      </c>
      <c r="B9">
        <f>B7+B8</f>
        <v>8</v>
      </c>
    </row>
    <row r="11" spans="1:2" x14ac:dyDescent="0.25">
      <c r="A11" t="s">
        <v>4359</v>
      </c>
      <c r="B11" t="s">
        <v>4365</v>
      </c>
    </row>
    <row r="12" spans="1:2" x14ac:dyDescent="0.25">
      <c r="A12" t="s">
        <v>4360</v>
      </c>
      <c r="B12">
        <v>1200</v>
      </c>
    </row>
    <row r="13" spans="1:2" x14ac:dyDescent="0.25">
      <c r="A13" t="s">
        <v>4361</v>
      </c>
      <c r="B13">
        <f>B9</f>
        <v>8</v>
      </c>
    </row>
    <row r="14" spans="1:2" x14ac:dyDescent="0.25">
      <c r="A14" t="s">
        <v>4362</v>
      </c>
      <c r="B14">
        <f>B9/1200</f>
        <v>6.6666666666666671E-3</v>
      </c>
    </row>
    <row r="15" spans="1:2" x14ac:dyDescent="0.25">
      <c r="A15" t="s">
        <v>4363</v>
      </c>
      <c r="B15">
        <f>B7</f>
        <v>0</v>
      </c>
    </row>
    <row r="16" spans="1:2" x14ac:dyDescent="0.25">
      <c r="A16" t="s">
        <v>4364</v>
      </c>
      <c r="B16">
        <f>B8</f>
        <v>8</v>
      </c>
    </row>
    <row r="20" spans="1:1" x14ac:dyDescent="0.25">
      <c r="A20" s="10"/>
    </row>
    <row r="27" spans="1:1" x14ac:dyDescent="0.25">
      <c r="A27" s="10"/>
    </row>
    <row r="33" spans="1:14" x14ac:dyDescent="0.25">
      <c r="A33" t="s">
        <v>4366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" t="s">
        <v>0</v>
      </c>
      <c r="B34" s="1" t="s">
        <v>3</v>
      </c>
      <c r="C34" s="1" t="s">
        <v>13</v>
      </c>
    </row>
    <row r="35" spans="1:14" x14ac:dyDescent="0.25">
      <c r="A35" s="16" t="s">
        <v>121</v>
      </c>
      <c r="B35" s="16" t="s">
        <v>2407</v>
      </c>
      <c r="C35" s="16">
        <v>3353.75</v>
      </c>
    </row>
    <row r="36" spans="1:14" x14ac:dyDescent="0.25">
      <c r="A36" s="16" t="s">
        <v>340</v>
      </c>
      <c r="B36" s="16" t="s">
        <v>2408</v>
      </c>
      <c r="C36" s="16">
        <v>3352.4</v>
      </c>
    </row>
    <row r="37" spans="1:14" x14ac:dyDescent="0.25">
      <c r="A37" s="16" t="s">
        <v>342</v>
      </c>
      <c r="B37" s="16" t="s">
        <v>2405</v>
      </c>
      <c r="C37" s="16">
        <v>3370.2</v>
      </c>
    </row>
    <row r="38" spans="1:14" x14ac:dyDescent="0.25">
      <c r="A38" s="16" t="s">
        <v>483</v>
      </c>
      <c r="B38" s="16" t="s">
        <v>2406</v>
      </c>
      <c r="C38" s="16">
        <v>3384.9</v>
      </c>
    </row>
    <row r="39" spans="1:14" x14ac:dyDescent="0.25">
      <c r="A39" s="16" t="s">
        <v>646</v>
      </c>
      <c r="B39" s="16" t="s">
        <v>2408</v>
      </c>
      <c r="C39" s="16">
        <v>3390.8</v>
      </c>
    </row>
    <row r="40" spans="1:14" x14ac:dyDescent="0.25">
      <c r="A40" s="16" t="s">
        <v>803</v>
      </c>
      <c r="B40" s="16" t="s">
        <v>2405</v>
      </c>
      <c r="C40" s="16">
        <v>3456.4</v>
      </c>
    </row>
    <row r="41" spans="1:14" x14ac:dyDescent="0.25">
      <c r="A41" s="16" t="s">
        <v>1079</v>
      </c>
      <c r="B41" s="16" t="s">
        <v>2407</v>
      </c>
      <c r="C41" s="16">
        <v>3334</v>
      </c>
    </row>
    <row r="42" spans="1:14" x14ac:dyDescent="0.25">
      <c r="A42" s="16" t="s">
        <v>1136</v>
      </c>
      <c r="B42" s="16" t="s">
        <v>2403</v>
      </c>
      <c r="C42" s="16">
        <v>3390.95</v>
      </c>
    </row>
    <row r="47" spans="1:14" x14ac:dyDescent="0.25">
      <c r="A47" s="10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22" sqref="G2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E325-C63F-4230-831F-9B97ECE65190}">
  <dimension ref="A1:D21"/>
  <sheetViews>
    <sheetView topLeftCell="A21" workbookViewId="0">
      <selection activeCell="A24" sqref="A24:A29"/>
    </sheetView>
  </sheetViews>
  <sheetFormatPr defaultRowHeight="15" x14ac:dyDescent="0.25"/>
  <cols>
    <col min="1" max="1" width="19.7109375" customWidth="1"/>
    <col min="2" max="2" width="17.28515625" customWidth="1"/>
    <col min="3" max="3" width="13.42578125" customWidth="1"/>
    <col min="4" max="4" width="17.7109375" bestFit="1" customWidth="1"/>
  </cols>
  <sheetData>
    <row r="1" spans="1:4" x14ac:dyDescent="0.25">
      <c r="A1" t="s">
        <v>4284</v>
      </c>
      <c r="B1" t="s">
        <v>4289</v>
      </c>
    </row>
    <row r="2" spans="1:4" x14ac:dyDescent="0.25">
      <c r="A2" t="s">
        <v>4285</v>
      </c>
      <c r="B2">
        <f>COUNTA(Sheet1!A:A)-1</f>
        <v>1200</v>
      </c>
    </row>
    <row r="3" spans="1:4" x14ac:dyDescent="0.25">
      <c r="A3" t="s">
        <v>4286</v>
      </c>
      <c r="B3">
        <v>14</v>
      </c>
    </row>
    <row r="4" spans="1:4" x14ac:dyDescent="0.25">
      <c r="A4" t="s">
        <v>4287</v>
      </c>
      <c r="B4" s="5">
        <f>MIN(Sheet1!B:B)</f>
        <v>44927</v>
      </c>
    </row>
    <row r="5" spans="1:4" x14ac:dyDescent="0.25">
      <c r="A5" t="s">
        <v>4288</v>
      </c>
      <c r="B5" s="5">
        <f>MAX(Sheet1!B:B)</f>
        <v>45838</v>
      </c>
    </row>
    <row r="7" spans="1:4" x14ac:dyDescent="0.25">
      <c r="A7" t="s">
        <v>4290</v>
      </c>
      <c r="B7" t="s">
        <v>4291</v>
      </c>
      <c r="C7" t="s">
        <v>4292</v>
      </c>
      <c r="D7" t="s">
        <v>4293</v>
      </c>
    </row>
    <row r="8" spans="1:4" x14ac:dyDescent="0.25">
      <c r="A8" t="s">
        <v>4296</v>
      </c>
      <c r="B8" t="s">
        <v>4294</v>
      </c>
      <c r="C8">
        <v>0</v>
      </c>
      <c r="D8" t="s">
        <v>4295</v>
      </c>
    </row>
    <row r="9" spans="1:4" x14ac:dyDescent="0.25">
      <c r="A9" t="s">
        <v>1</v>
      </c>
      <c r="B9" t="s">
        <v>1</v>
      </c>
      <c r="C9">
        <v>0</v>
      </c>
      <c r="D9" t="s">
        <v>4299</v>
      </c>
    </row>
    <row r="10" spans="1:4" x14ac:dyDescent="0.25">
      <c r="A10" t="s">
        <v>2</v>
      </c>
      <c r="B10" t="s">
        <v>4294</v>
      </c>
      <c r="C10">
        <v>0</v>
      </c>
      <c r="D10" t="s">
        <v>4298</v>
      </c>
    </row>
    <row r="11" spans="1:4" x14ac:dyDescent="0.25">
      <c r="A11" t="s">
        <v>3</v>
      </c>
      <c r="B11" t="s">
        <v>4294</v>
      </c>
      <c r="C11">
        <v>0</v>
      </c>
      <c r="D11" t="s">
        <v>4297</v>
      </c>
    </row>
    <row r="12" spans="1:4" x14ac:dyDescent="0.25">
      <c r="A12" t="s">
        <v>4</v>
      </c>
      <c r="B12" t="s">
        <v>4300</v>
      </c>
      <c r="C12">
        <v>0</v>
      </c>
      <c r="D12" t="s">
        <v>4301</v>
      </c>
    </row>
    <row r="13" spans="1:4" x14ac:dyDescent="0.25">
      <c r="A13" t="s">
        <v>5</v>
      </c>
      <c r="B13" t="s">
        <v>4300</v>
      </c>
      <c r="C13">
        <v>0</v>
      </c>
      <c r="D13" t="s">
        <v>4302</v>
      </c>
    </row>
    <row r="14" spans="1:4" x14ac:dyDescent="0.25">
      <c r="A14" t="s">
        <v>4303</v>
      </c>
      <c r="B14" t="s">
        <v>4294</v>
      </c>
      <c r="C14">
        <v>0</v>
      </c>
      <c r="D14" t="s">
        <v>4304</v>
      </c>
    </row>
    <row r="15" spans="1:4" x14ac:dyDescent="0.25">
      <c r="A15" t="s">
        <v>4305</v>
      </c>
      <c r="B15" t="s">
        <v>4294</v>
      </c>
      <c r="C15">
        <v>0</v>
      </c>
      <c r="D15" t="s">
        <v>4306</v>
      </c>
    </row>
    <row r="16" spans="1:4" x14ac:dyDescent="0.25">
      <c r="A16" t="s">
        <v>8</v>
      </c>
      <c r="B16" t="s">
        <v>4294</v>
      </c>
      <c r="C16">
        <v>0</v>
      </c>
      <c r="D16" t="s">
        <v>4307</v>
      </c>
    </row>
    <row r="17" spans="1:4" x14ac:dyDescent="0.25">
      <c r="A17" t="s">
        <v>9</v>
      </c>
      <c r="B17" t="s">
        <v>4294</v>
      </c>
      <c r="C17">
        <v>0</v>
      </c>
      <c r="D17" t="s">
        <v>4308</v>
      </c>
    </row>
    <row r="18" spans="1:4" x14ac:dyDescent="0.25">
      <c r="A18" t="s">
        <v>10</v>
      </c>
      <c r="B18" t="s">
        <v>4300</v>
      </c>
      <c r="C18">
        <v>0</v>
      </c>
      <c r="D18" t="s">
        <v>4309</v>
      </c>
    </row>
    <row r="19" spans="1:4" x14ac:dyDescent="0.25">
      <c r="A19" t="s">
        <v>11</v>
      </c>
      <c r="B19" t="s">
        <v>4294</v>
      </c>
      <c r="C19">
        <f>ROWS(Sheet1!L2:L1201)-COUNTA(Sheet1!L2:L1201)</f>
        <v>309</v>
      </c>
      <c r="D19" t="s">
        <v>4310</v>
      </c>
    </row>
    <row r="20" spans="1:4" x14ac:dyDescent="0.25">
      <c r="A20" t="s">
        <v>4311</v>
      </c>
      <c r="B20" t="s">
        <v>4294</v>
      </c>
      <c r="C20">
        <v>0</v>
      </c>
      <c r="D20" t="s">
        <v>4312</v>
      </c>
    </row>
    <row r="21" spans="1:4" x14ac:dyDescent="0.25">
      <c r="A21" t="s">
        <v>4313</v>
      </c>
      <c r="B21" t="s">
        <v>4300</v>
      </c>
      <c r="C21">
        <v>0</v>
      </c>
      <c r="D21" t="s">
        <v>4314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5DC8-0771-4FD5-9CBE-6B5E2ACEB218}">
  <dimension ref="A1:E9"/>
  <sheetViews>
    <sheetView workbookViewId="0">
      <selection activeCell="A11" sqref="A11:A15"/>
    </sheetView>
  </sheetViews>
  <sheetFormatPr defaultRowHeight="15" x14ac:dyDescent="0.25"/>
  <cols>
    <col min="1" max="1" width="9.85546875" customWidth="1"/>
    <col min="2" max="2" width="10.85546875" customWidth="1"/>
    <col min="3" max="3" width="11.42578125" customWidth="1"/>
    <col min="4" max="4" width="12" customWidth="1"/>
    <col min="5" max="5" width="13.42578125" customWidth="1"/>
  </cols>
  <sheetData>
    <row r="1" spans="1:5" x14ac:dyDescent="0.25">
      <c r="A1" t="s">
        <v>4315</v>
      </c>
      <c r="B1" s="6" t="s">
        <v>4</v>
      </c>
      <c r="C1" s="8" t="s">
        <v>5</v>
      </c>
      <c r="D1" s="8" t="s">
        <v>13</v>
      </c>
      <c r="E1" s="6" t="s">
        <v>10</v>
      </c>
    </row>
    <row r="2" spans="1:5" x14ac:dyDescent="0.25">
      <c r="A2" t="s">
        <v>4316</v>
      </c>
      <c r="B2" s="6">
        <f>COUNTA(Sheet1!E2:E1201)</f>
        <v>1200</v>
      </c>
      <c r="C2" s="8">
        <f>COUNTA(Sheet1!F2:F1201)</f>
        <v>1200</v>
      </c>
      <c r="D2" s="8">
        <f>COUNTA(Sheet1!N2:N1201)</f>
        <v>1200</v>
      </c>
      <c r="E2" s="6">
        <f>COUNTA(Sheet1!K2:K1201)</f>
        <v>1200</v>
      </c>
    </row>
    <row r="3" spans="1:5" x14ac:dyDescent="0.25">
      <c r="A3" t="s">
        <v>4317</v>
      </c>
      <c r="B3" s="6">
        <f>AVERAGE(Sheet1!E2:E1201)</f>
        <v>2.9458333333333333</v>
      </c>
      <c r="C3" s="8">
        <f>AVERAGE(Sheet1!F2:F1201)</f>
        <v>356.41275000000007</v>
      </c>
      <c r="D3" s="8">
        <f>AVERAGE(Sheet1!N2:N1201)</f>
        <v>1053.9683000000005</v>
      </c>
      <c r="E3" s="7">
        <f>AVERAGE(Sheet1!K2:K1201)</f>
        <v>5.4850000000000003</v>
      </c>
    </row>
    <row r="4" spans="1:5" x14ac:dyDescent="0.25">
      <c r="A4" t="s">
        <v>4318</v>
      </c>
      <c r="B4" s="6">
        <f>MEDIAN(Sheet1!E2:E1201)</f>
        <v>3</v>
      </c>
      <c r="C4" s="8">
        <f>MEDIAN(Sheet1!F2:F1201)</f>
        <v>364.21</v>
      </c>
      <c r="D4" s="8">
        <f>MEDIAN(Sheet1!N2:N1201)</f>
        <v>823.61500000000001</v>
      </c>
      <c r="E4" s="6">
        <f>MEDIAN(Sheet1!K2:K1201)</f>
        <v>5</v>
      </c>
    </row>
    <row r="5" spans="1:5" x14ac:dyDescent="0.25">
      <c r="A5" t="s">
        <v>4319</v>
      </c>
      <c r="B5" s="6">
        <f>MODE(Sheet1!E2:E1201)</f>
        <v>1</v>
      </c>
      <c r="C5" s="8">
        <f>MODE(Sheet1!F2:F1201)</f>
        <v>127.18</v>
      </c>
      <c r="D5" s="8">
        <f>MODE(Sheet1!N2:N1201)</f>
        <v>635.90000000000009</v>
      </c>
      <c r="E5" s="6">
        <f>MODE(Sheet1!K2:K1201)</f>
        <v>5</v>
      </c>
    </row>
    <row r="6" spans="1:5" x14ac:dyDescent="0.25">
      <c r="A6" t="s">
        <v>4320</v>
      </c>
      <c r="B6" s="6">
        <f>MIN(Sheet1!E2:E1201)</f>
        <v>1</v>
      </c>
      <c r="C6" s="8">
        <f>MIN(Sheet1!F2:F1201)</f>
        <v>11.39</v>
      </c>
      <c r="D6" s="8">
        <f>MIN(Sheet1!N2:N1201)</f>
        <v>11.39</v>
      </c>
      <c r="E6" s="6">
        <f>MIN(Sheet1!K2:K1201)</f>
        <v>1</v>
      </c>
    </row>
    <row r="7" spans="1:5" x14ac:dyDescent="0.25">
      <c r="A7" t="s">
        <v>4321</v>
      </c>
      <c r="B7" s="6">
        <f>MAX(Sheet1!E2:E1201)</f>
        <v>5</v>
      </c>
      <c r="C7" s="8">
        <f>MAX(Sheet1!F2:F1201)</f>
        <v>699.93</v>
      </c>
      <c r="D7" s="8">
        <f>MAX(Sheet1!N2:N1201)</f>
        <v>3456.4</v>
      </c>
      <c r="E7" s="6">
        <f>MAX(Sheet1!K2:K1201)</f>
        <v>10</v>
      </c>
    </row>
    <row r="8" spans="1:5" x14ac:dyDescent="0.25">
      <c r="A8" t="s">
        <v>4322</v>
      </c>
      <c r="B8" s="6">
        <f>STDEV(Sheet1!E2:E1201)</f>
        <v>1.4075570987983175</v>
      </c>
      <c r="C8" s="8">
        <f>STDEV(Sheet1!F2:F1201)</f>
        <v>197.17714641491236</v>
      </c>
      <c r="D8" s="8">
        <f>STDEV(Sheet1!N2:N1201)</f>
        <v>819.85655836464559</v>
      </c>
      <c r="E8" s="6">
        <f>STDEV(Sheet1!K2:K1201)</f>
        <v>2.2819833201028645</v>
      </c>
    </row>
    <row r="9" spans="1:5" x14ac:dyDescent="0.25">
      <c r="A9" t="s">
        <v>4323</v>
      </c>
      <c r="B9" s="6">
        <f>B7-B6</f>
        <v>4</v>
      </c>
      <c r="C9" s="8">
        <f>C7-C6</f>
        <v>688.54</v>
      </c>
      <c r="D9" s="8">
        <f>D7-D6</f>
        <v>3445.01</v>
      </c>
      <c r="E9" s="6">
        <f>E7-E6</f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993F-D074-4066-A9C9-15E7EB6AAEF8}">
  <dimension ref="A1:C43"/>
  <sheetViews>
    <sheetView tabSelected="1" topLeftCell="A30" workbookViewId="0">
      <selection activeCell="C63" sqref="C63"/>
    </sheetView>
  </sheetViews>
  <sheetFormatPr defaultRowHeight="15" x14ac:dyDescent="0.25"/>
  <cols>
    <col min="1" max="1" width="18.5703125" customWidth="1"/>
    <col min="2" max="2" width="14" customWidth="1"/>
    <col min="3" max="3" width="11.85546875" customWidth="1"/>
  </cols>
  <sheetData>
    <row r="1" spans="1:3" x14ac:dyDescent="0.25">
      <c r="B1" t="s">
        <v>4324</v>
      </c>
    </row>
    <row r="2" spans="1:3" x14ac:dyDescent="0.25">
      <c r="A2" t="s">
        <v>3</v>
      </c>
      <c r="B2" t="s">
        <v>4325</v>
      </c>
      <c r="C2" t="s">
        <v>4326</v>
      </c>
    </row>
    <row r="3" spans="1:3" x14ac:dyDescent="0.25">
      <c r="A3" t="s">
        <v>2403</v>
      </c>
      <c r="B3">
        <f>COUNTIF(Sheet1!$D:$D,"Monitor")</f>
        <v>163</v>
      </c>
      <c r="C3" s="9">
        <f>B3/$B$10</f>
        <v>0.13583333333333333</v>
      </c>
    </row>
    <row r="4" spans="1:3" x14ac:dyDescent="0.25">
      <c r="A4" t="s">
        <v>2404</v>
      </c>
      <c r="B4">
        <f>COUNTIF(Sheet1!$D:$D,"Phone")</f>
        <v>156</v>
      </c>
      <c r="C4" s="9">
        <f t="shared" ref="C4:C9" si="0">B4/$B$10</f>
        <v>0.13</v>
      </c>
    </row>
    <row r="5" spans="1:3" x14ac:dyDescent="0.25">
      <c r="A5" t="s">
        <v>2405</v>
      </c>
      <c r="B5">
        <f>COUNTIF(Sheet1!$D:$D,"Tablet")</f>
        <v>179</v>
      </c>
      <c r="C5" s="9">
        <f t="shared" si="0"/>
        <v>0.14916666666666667</v>
      </c>
    </row>
    <row r="6" spans="1:3" x14ac:dyDescent="0.25">
      <c r="A6" t="s">
        <v>2408</v>
      </c>
      <c r="B6">
        <f>COUNTIF(Sheet1!$D:$D,"Laptop")</f>
        <v>173</v>
      </c>
      <c r="C6" s="9">
        <f t="shared" si="0"/>
        <v>0.14416666666666667</v>
      </c>
    </row>
    <row r="7" spans="1:3" x14ac:dyDescent="0.25">
      <c r="A7" t="s">
        <v>2407</v>
      </c>
      <c r="B7">
        <f>COUNTIF(Sheet1!$D:$D,"Printer")</f>
        <v>181</v>
      </c>
      <c r="C7" s="9">
        <f t="shared" si="0"/>
        <v>0.15083333333333335</v>
      </c>
    </row>
    <row r="8" spans="1:3" x14ac:dyDescent="0.25">
      <c r="A8" t="s">
        <v>2406</v>
      </c>
      <c r="B8">
        <f>COUNTIF(Sheet1!$D:$D,"Chair")</f>
        <v>178</v>
      </c>
      <c r="C8" s="9">
        <f t="shared" si="0"/>
        <v>0.14833333333333334</v>
      </c>
    </row>
    <row r="9" spans="1:3" x14ac:dyDescent="0.25">
      <c r="A9" t="s">
        <v>2409</v>
      </c>
      <c r="B9">
        <f>COUNTIF(Sheet1!$D:$D,"Desk")</f>
        <v>170</v>
      </c>
      <c r="C9" s="9">
        <f t="shared" si="0"/>
        <v>0.14166666666666666</v>
      </c>
    </row>
    <row r="10" spans="1:3" x14ac:dyDescent="0.25">
      <c r="A10" t="s">
        <v>4327</v>
      </c>
      <c r="B10">
        <f>SUM(B3:B9)</f>
        <v>1200</v>
      </c>
    </row>
    <row r="12" spans="1:3" x14ac:dyDescent="0.25">
      <c r="B12" t="s">
        <v>4328</v>
      </c>
    </row>
    <row r="13" spans="1:3" x14ac:dyDescent="0.25">
      <c r="A13" t="s">
        <v>4329</v>
      </c>
      <c r="B13" t="s">
        <v>4316</v>
      </c>
      <c r="C13" t="s">
        <v>4326</v>
      </c>
    </row>
    <row r="14" spans="1:3" x14ac:dyDescent="0.25">
      <c r="A14" t="s">
        <v>3073</v>
      </c>
      <c r="B14">
        <f>COUNTIF(Sheet1!$I:$I,"Delivered")</f>
        <v>231</v>
      </c>
      <c r="C14" s="9">
        <f>B14/$B$19</f>
        <v>0.1925</v>
      </c>
    </row>
    <row r="15" spans="1:3" x14ac:dyDescent="0.25">
      <c r="A15" t="s">
        <v>3070</v>
      </c>
      <c r="B15">
        <f>COUNTIF(Sheet1!$I:$I,"Shipped")</f>
        <v>235</v>
      </c>
      <c r="C15" s="9">
        <f t="shared" ref="C15:C18" si="1">B15/$B$19</f>
        <v>0.19583333333333333</v>
      </c>
    </row>
    <row r="16" spans="1:3" x14ac:dyDescent="0.25">
      <c r="A16" t="s">
        <v>3074</v>
      </c>
      <c r="B16">
        <f>COUNTIF(Sheet1!$I:$I,"Pending")</f>
        <v>237</v>
      </c>
      <c r="C16" s="9">
        <f t="shared" si="1"/>
        <v>0.19750000000000001</v>
      </c>
    </row>
    <row r="17" spans="1:3" x14ac:dyDescent="0.25">
      <c r="A17" t="s">
        <v>3071</v>
      </c>
      <c r="B17">
        <f>COUNTIF(Sheet1!$I:$I,"Cancelled")</f>
        <v>250</v>
      </c>
      <c r="C17" s="9">
        <f t="shared" si="1"/>
        <v>0.20833333333333334</v>
      </c>
    </row>
    <row r="18" spans="1:3" x14ac:dyDescent="0.25">
      <c r="A18" t="s">
        <v>3072</v>
      </c>
      <c r="B18">
        <f>COUNTIF(Sheet1!$I:$I,"Returned")</f>
        <v>247</v>
      </c>
      <c r="C18" s="9">
        <f t="shared" si="1"/>
        <v>0.20583333333333334</v>
      </c>
    </row>
    <row r="19" spans="1:3" x14ac:dyDescent="0.25">
      <c r="A19" t="s">
        <v>4327</v>
      </c>
      <c r="B19">
        <f>SUM(B14:B18)</f>
        <v>1200</v>
      </c>
    </row>
    <row r="21" spans="1:3" x14ac:dyDescent="0.25">
      <c r="B21" t="s">
        <v>4330</v>
      </c>
    </row>
    <row r="22" spans="1:3" x14ac:dyDescent="0.25">
      <c r="A22" t="s">
        <v>4305</v>
      </c>
      <c r="B22" t="s">
        <v>4316</v>
      </c>
      <c r="C22" t="s">
        <v>4326</v>
      </c>
    </row>
    <row r="23" spans="1:3" x14ac:dyDescent="0.25">
      <c r="A23" t="s">
        <v>3067</v>
      </c>
      <c r="B23">
        <f>COUNTIF(Sheet1!$H:$H,"Credit Card")</f>
        <v>234</v>
      </c>
      <c r="C23" s="9">
        <f>B23/$B$28</f>
        <v>0.19500000000000001</v>
      </c>
    </row>
    <row r="24" spans="1:3" x14ac:dyDescent="0.25">
      <c r="A24" t="s">
        <v>3065</v>
      </c>
      <c r="B24">
        <f>COUNTIF(Sheet1!$H:$H,"Debit Card")</f>
        <v>232</v>
      </c>
      <c r="C24" s="9">
        <f t="shared" ref="C24:C27" si="2">B24/$B$28</f>
        <v>0.19333333333333333</v>
      </c>
    </row>
    <row r="25" spans="1:3" x14ac:dyDescent="0.25">
      <c r="A25" t="s">
        <v>3069</v>
      </c>
      <c r="B25">
        <f>COUNTIF(Sheet1!$H:$H,"Cash")</f>
        <v>246</v>
      </c>
      <c r="C25" s="9">
        <f t="shared" si="2"/>
        <v>0.20499999999999999</v>
      </c>
    </row>
    <row r="26" spans="1:3" x14ac:dyDescent="0.25">
      <c r="A26" t="s">
        <v>3066</v>
      </c>
      <c r="B26">
        <f>COUNTIF(Sheet1!$H:$H,"Online")</f>
        <v>258</v>
      </c>
      <c r="C26" s="9">
        <f t="shared" si="2"/>
        <v>0.215</v>
      </c>
    </row>
    <row r="27" spans="1:3" x14ac:dyDescent="0.25">
      <c r="A27" t="s">
        <v>3068</v>
      </c>
      <c r="B27">
        <f>COUNTIF(Sheet1!$H:$H,"Gift Card")</f>
        <v>230</v>
      </c>
      <c r="C27" s="9">
        <f t="shared" si="2"/>
        <v>0.19166666666666668</v>
      </c>
    </row>
    <row r="28" spans="1:3" x14ac:dyDescent="0.25">
      <c r="A28" t="s">
        <v>4327</v>
      </c>
      <c r="B28">
        <f>SUM(B23:B27)</f>
        <v>1200</v>
      </c>
    </row>
    <row r="30" spans="1:3" x14ac:dyDescent="0.25">
      <c r="B30" t="s">
        <v>4331</v>
      </c>
    </row>
    <row r="31" spans="1:3" x14ac:dyDescent="0.25">
      <c r="A31" t="s">
        <v>4311</v>
      </c>
      <c r="B31" t="s">
        <v>4316</v>
      </c>
      <c r="C31" t="s">
        <v>4326</v>
      </c>
    </row>
    <row r="32" spans="1:3" x14ac:dyDescent="0.25">
      <c r="A32" t="s">
        <v>4281</v>
      </c>
      <c r="B32">
        <f>COUNTIF(Sheet1!$M:$M,"Facebook")</f>
        <v>228</v>
      </c>
      <c r="C32" s="9">
        <f>B32/$B$37</f>
        <v>0.19</v>
      </c>
    </row>
    <row r="33" spans="1:3" x14ac:dyDescent="0.25">
      <c r="A33" t="s">
        <v>4278</v>
      </c>
      <c r="B33">
        <f>COUNTIF(Sheet1!$M:$M,"Instagram")</f>
        <v>259</v>
      </c>
      <c r="C33" s="9">
        <f t="shared" ref="C33:C36" si="3">B33/$B$37</f>
        <v>0.21583333333333332</v>
      </c>
    </row>
    <row r="34" spans="1:3" x14ac:dyDescent="0.25">
      <c r="A34" t="s">
        <v>4282</v>
      </c>
      <c r="B34">
        <f>COUNTIF(Sheet1!$M:$M,"Google")</f>
        <v>241</v>
      </c>
      <c r="C34" s="9">
        <f t="shared" si="3"/>
        <v>0.20083333333333334</v>
      </c>
    </row>
    <row r="35" spans="1:3" x14ac:dyDescent="0.25">
      <c r="A35" t="s">
        <v>4280</v>
      </c>
      <c r="B35">
        <f>COUNTIF(Sheet1!$M:$M,"Email")</f>
        <v>250</v>
      </c>
      <c r="C35" s="9">
        <f t="shared" si="3"/>
        <v>0.20833333333333334</v>
      </c>
    </row>
    <row r="36" spans="1:3" x14ac:dyDescent="0.25">
      <c r="A36" t="s">
        <v>4279</v>
      </c>
      <c r="B36">
        <f>COUNTIF(Sheet1!$M:$M,"Referral")</f>
        <v>222</v>
      </c>
      <c r="C36" s="9">
        <f t="shared" si="3"/>
        <v>0.185</v>
      </c>
    </row>
    <row r="37" spans="1:3" x14ac:dyDescent="0.25">
      <c r="A37" t="s">
        <v>4327</v>
      </c>
      <c r="B37">
        <f>SUM(B32:B36)</f>
        <v>1200</v>
      </c>
    </row>
    <row r="39" spans="1:3" x14ac:dyDescent="0.25">
      <c r="A39" s="10"/>
    </row>
    <row r="43" spans="1:3" x14ac:dyDescent="0.25">
      <c r="A43" s="11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BFCC-4340-4B00-9538-833CD19B1978}">
  <dimension ref="A1:N1201"/>
  <sheetViews>
    <sheetView workbookViewId="0">
      <selection activeCell="V1" sqref="V1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5.4257812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1263-3DE8-4159-8B8C-52AE0592C210}">
  <dimension ref="A1:N1201"/>
  <sheetViews>
    <sheetView workbookViewId="0">
      <selection sqref="A1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55CFC-0DD1-47AF-A745-697F1B4A4B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Trend Analysis</vt:lpstr>
      <vt:lpstr>Outlier Detection</vt:lpstr>
      <vt:lpstr>Sheet1</vt:lpstr>
      <vt:lpstr>Data Profile</vt:lpstr>
      <vt:lpstr>Descriptive Statistics</vt:lpstr>
      <vt:lpstr>Categorical Analysis</vt:lpstr>
      <vt:lpstr>Table2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Shukrat Adeniji</cp:lastModifiedBy>
  <dcterms:created xsi:type="dcterms:W3CDTF">2025-06-21T13:19:12Z</dcterms:created>
  <dcterms:modified xsi:type="dcterms:W3CDTF">2026-06-13T00:07:36Z</dcterms:modified>
</cp:coreProperties>
</file>